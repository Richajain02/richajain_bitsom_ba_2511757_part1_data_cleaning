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D1CCB3BE-50A8-4ED8-AD34-ED163679742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2" r:id="rId1"/>
  </sheets>
  <definedNames>
    <definedName name="_xlnm._FilterDatabase" localSheetId="0" hidden="1">Sheet1!#REF!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81" i="2" l="1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AA702" i="2"/>
  <c r="AA703" i="2"/>
  <c r="AA704" i="2"/>
  <c r="AA705" i="2"/>
  <c r="AA706" i="2"/>
  <c r="AA707" i="2"/>
  <c r="AA708" i="2"/>
  <c r="AA709" i="2"/>
  <c r="AA710" i="2"/>
  <c r="AA711" i="2"/>
  <c r="AA712" i="2"/>
  <c r="AA713" i="2"/>
  <c r="AA714" i="2"/>
  <c r="AA715" i="2"/>
  <c r="AA716" i="2"/>
  <c r="AA717" i="2"/>
  <c r="AA718" i="2"/>
  <c r="AA719" i="2"/>
  <c r="AA720" i="2"/>
  <c r="AA721" i="2"/>
  <c r="AA722" i="2"/>
  <c r="AA723" i="2"/>
  <c r="AA724" i="2"/>
  <c r="AA725" i="2"/>
  <c r="AA726" i="2"/>
  <c r="AA727" i="2"/>
  <c r="AA728" i="2"/>
  <c r="AA729" i="2"/>
  <c r="AA730" i="2"/>
  <c r="AA731" i="2"/>
  <c r="AA732" i="2"/>
  <c r="AA733" i="2"/>
  <c r="AA734" i="2"/>
  <c r="AA735" i="2"/>
  <c r="AA736" i="2"/>
  <c r="AA737" i="2"/>
  <c r="AA738" i="2"/>
  <c r="AA739" i="2"/>
  <c r="AA740" i="2"/>
  <c r="AA741" i="2"/>
  <c r="AA742" i="2"/>
  <c r="AA743" i="2"/>
  <c r="AA744" i="2"/>
  <c r="AA745" i="2"/>
  <c r="AA746" i="2"/>
  <c r="AA747" i="2"/>
  <c r="AA748" i="2"/>
  <c r="AA749" i="2"/>
  <c r="AA750" i="2"/>
  <c r="AA751" i="2"/>
  <c r="AA752" i="2"/>
  <c r="AA753" i="2"/>
  <c r="AA754" i="2"/>
  <c r="AA755" i="2"/>
  <c r="AA756" i="2"/>
  <c r="AA757" i="2"/>
  <c r="AA758" i="2"/>
  <c r="AA759" i="2"/>
  <c r="AA760" i="2"/>
  <c r="AA761" i="2"/>
  <c r="AA762" i="2"/>
  <c r="AA763" i="2"/>
  <c r="AA764" i="2"/>
  <c r="AA765" i="2"/>
  <c r="AA766" i="2"/>
  <c r="AA767" i="2"/>
  <c r="AA768" i="2"/>
  <c r="AA769" i="2"/>
  <c r="AA770" i="2"/>
  <c r="AA771" i="2"/>
  <c r="AA772" i="2"/>
  <c r="AA773" i="2"/>
  <c r="AA774" i="2"/>
  <c r="AA775" i="2"/>
  <c r="AA776" i="2"/>
  <c r="AA777" i="2"/>
  <c r="AA778" i="2"/>
  <c r="AA779" i="2"/>
  <c r="AA780" i="2"/>
  <c r="AA781" i="2"/>
  <c r="AA782" i="2"/>
  <c r="AA783" i="2"/>
  <c r="AA784" i="2"/>
  <c r="AA785" i="2"/>
  <c r="AA786" i="2"/>
  <c r="AA787" i="2"/>
  <c r="AA788" i="2"/>
  <c r="AA789" i="2"/>
  <c r="AA790" i="2"/>
  <c r="AA791" i="2"/>
  <c r="AA792" i="2"/>
  <c r="AA793" i="2"/>
  <c r="AA794" i="2"/>
  <c r="AA795" i="2"/>
  <c r="AA796" i="2"/>
  <c r="AA797" i="2"/>
  <c r="AA798" i="2"/>
  <c r="AA799" i="2"/>
  <c r="AA800" i="2"/>
  <c r="AA801" i="2"/>
  <c r="AA802" i="2"/>
  <c r="AA803" i="2"/>
  <c r="AA804" i="2"/>
  <c r="AA805" i="2"/>
  <c r="AA806" i="2"/>
  <c r="AA807" i="2"/>
  <c r="AA808" i="2"/>
  <c r="AA809" i="2"/>
  <c r="AA810" i="2"/>
  <c r="AA811" i="2"/>
  <c r="AA812" i="2"/>
  <c r="AA813" i="2"/>
  <c r="AA814" i="2"/>
  <c r="AA815" i="2"/>
  <c r="AA816" i="2"/>
  <c r="AA817" i="2"/>
  <c r="AA818" i="2"/>
  <c r="AA819" i="2"/>
  <c r="AA820" i="2"/>
  <c r="AA821" i="2"/>
  <c r="AA822" i="2"/>
  <c r="AA823" i="2"/>
  <c r="AA824" i="2"/>
  <c r="AA825" i="2"/>
  <c r="AA826" i="2"/>
  <c r="AA827" i="2"/>
  <c r="AA828" i="2"/>
  <c r="AA829" i="2"/>
  <c r="AA830" i="2"/>
  <c r="AA831" i="2"/>
  <c r="AA832" i="2"/>
  <c r="AA833" i="2"/>
  <c r="AA834" i="2"/>
  <c r="AA835" i="2"/>
  <c r="AA836" i="2"/>
  <c r="AA837" i="2"/>
  <c r="AA838" i="2"/>
  <c r="AA839" i="2"/>
  <c r="AA840" i="2"/>
  <c r="AA841" i="2"/>
  <c r="AA842" i="2"/>
  <c r="AA843" i="2"/>
  <c r="AA844" i="2"/>
  <c r="AA845" i="2"/>
  <c r="AA846" i="2"/>
  <c r="AA847" i="2"/>
  <c r="AA848" i="2"/>
  <c r="AA849" i="2"/>
  <c r="AA850" i="2"/>
  <c r="AA851" i="2"/>
  <c r="AA852" i="2"/>
  <c r="AA853" i="2"/>
  <c r="AA854" i="2"/>
  <c r="AA855" i="2"/>
  <c r="AA856" i="2"/>
  <c r="AA857" i="2"/>
  <c r="AA858" i="2"/>
  <c r="AA859" i="2"/>
  <c r="AA860" i="2"/>
  <c r="AA861" i="2"/>
  <c r="AA862" i="2"/>
  <c r="AA863" i="2"/>
  <c r="AA864" i="2"/>
  <c r="AA865" i="2"/>
  <c r="AA866" i="2"/>
  <c r="AA867" i="2"/>
  <c r="AA868" i="2"/>
  <c r="AA869" i="2"/>
  <c r="AA870" i="2"/>
  <c r="AA871" i="2"/>
  <c r="AA872" i="2"/>
  <c r="AA873" i="2"/>
  <c r="AA874" i="2"/>
  <c r="AA875" i="2"/>
  <c r="AA876" i="2"/>
  <c r="AA877" i="2"/>
  <c r="AA878" i="2"/>
  <c r="AA879" i="2"/>
  <c r="AA880" i="2"/>
  <c r="AA881" i="2"/>
  <c r="AA882" i="2"/>
  <c r="AA883" i="2"/>
  <c r="AA884" i="2"/>
  <c r="AA885" i="2"/>
  <c r="AA886" i="2"/>
  <c r="AA887" i="2"/>
  <c r="AA888" i="2"/>
  <c r="AA889" i="2"/>
  <c r="AA890" i="2"/>
  <c r="AA891" i="2"/>
  <c r="AA892" i="2"/>
  <c r="AA893" i="2"/>
  <c r="AA894" i="2"/>
  <c r="AA895" i="2"/>
  <c r="AA896" i="2"/>
  <c r="AA897" i="2"/>
  <c r="AA898" i="2"/>
  <c r="AA899" i="2"/>
  <c r="AA900" i="2"/>
  <c r="AA901" i="2"/>
  <c r="AA902" i="2"/>
  <c r="AA903" i="2"/>
  <c r="AA904" i="2"/>
  <c r="AA905" i="2"/>
  <c r="AA906" i="2"/>
  <c r="AA907" i="2"/>
  <c r="AA908" i="2"/>
  <c r="AA909" i="2"/>
  <c r="AA910" i="2"/>
  <c r="AA911" i="2"/>
  <c r="AA912" i="2"/>
  <c r="AA913" i="2"/>
  <c r="AA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I465" i="2"/>
  <c r="AI466" i="2"/>
  <c r="AI467" i="2"/>
  <c r="AI468" i="2"/>
  <c r="AI469" i="2"/>
  <c r="AI470" i="2"/>
  <c r="AI471" i="2"/>
  <c r="AI472" i="2"/>
  <c r="AI473" i="2"/>
  <c r="AI474" i="2"/>
  <c r="AI475" i="2"/>
  <c r="AI476" i="2"/>
  <c r="AI477" i="2"/>
  <c r="AI478" i="2"/>
  <c r="AI479" i="2"/>
  <c r="AI480" i="2"/>
  <c r="AI481" i="2"/>
  <c r="AI482" i="2"/>
  <c r="AI483" i="2"/>
  <c r="AI484" i="2"/>
  <c r="AI485" i="2"/>
  <c r="AI486" i="2"/>
  <c r="AI487" i="2"/>
  <c r="AI488" i="2"/>
  <c r="AI489" i="2"/>
  <c r="AI490" i="2"/>
  <c r="AI491" i="2"/>
  <c r="AI492" i="2"/>
  <c r="AI493" i="2"/>
  <c r="AI494" i="2"/>
  <c r="AI495" i="2"/>
  <c r="AI496" i="2"/>
  <c r="AI497" i="2"/>
  <c r="AI498" i="2"/>
  <c r="AI499" i="2"/>
  <c r="AI500" i="2"/>
  <c r="AI501" i="2"/>
  <c r="AI502" i="2"/>
  <c r="AI503" i="2"/>
  <c r="AI504" i="2"/>
  <c r="AI505" i="2"/>
  <c r="AI506" i="2"/>
  <c r="AI507" i="2"/>
  <c r="AI508" i="2"/>
  <c r="AI509" i="2"/>
  <c r="AI510" i="2"/>
  <c r="AI511" i="2"/>
  <c r="AI512" i="2"/>
  <c r="AI513" i="2"/>
  <c r="AI514" i="2"/>
  <c r="AI515" i="2"/>
  <c r="AI516" i="2"/>
  <c r="AI517" i="2"/>
  <c r="AI518" i="2"/>
  <c r="AI519" i="2"/>
  <c r="AI520" i="2"/>
  <c r="AI521" i="2"/>
  <c r="AI522" i="2"/>
  <c r="AI523" i="2"/>
  <c r="AI524" i="2"/>
  <c r="AI525" i="2"/>
  <c r="AI526" i="2"/>
  <c r="AI527" i="2"/>
  <c r="AI528" i="2"/>
  <c r="AI529" i="2"/>
  <c r="AI530" i="2"/>
  <c r="AI531" i="2"/>
  <c r="AI532" i="2"/>
  <c r="AI533" i="2"/>
  <c r="AI534" i="2"/>
  <c r="AI535" i="2"/>
  <c r="AI536" i="2"/>
  <c r="AI537" i="2"/>
  <c r="AI538" i="2"/>
  <c r="AI539" i="2"/>
  <c r="AI540" i="2"/>
  <c r="AI541" i="2"/>
  <c r="AI542" i="2"/>
  <c r="AI543" i="2"/>
  <c r="AI544" i="2"/>
  <c r="AI545" i="2"/>
  <c r="AI546" i="2"/>
  <c r="AI547" i="2"/>
  <c r="AI548" i="2"/>
  <c r="AI549" i="2"/>
  <c r="AI550" i="2"/>
  <c r="AI551" i="2"/>
  <c r="AI552" i="2"/>
  <c r="AI553" i="2"/>
  <c r="AI554" i="2"/>
  <c r="AI555" i="2"/>
  <c r="AI556" i="2"/>
  <c r="AI557" i="2"/>
  <c r="AI558" i="2"/>
  <c r="AI559" i="2"/>
  <c r="AI560" i="2"/>
  <c r="AI561" i="2"/>
  <c r="AI562" i="2"/>
  <c r="AI563" i="2"/>
  <c r="AI564" i="2"/>
  <c r="AI565" i="2"/>
  <c r="AI566" i="2"/>
  <c r="AI567" i="2"/>
  <c r="AI568" i="2"/>
  <c r="AI569" i="2"/>
  <c r="AI570" i="2"/>
  <c r="AI571" i="2"/>
  <c r="AI572" i="2"/>
  <c r="AI573" i="2"/>
  <c r="AI574" i="2"/>
  <c r="AI575" i="2"/>
  <c r="AI576" i="2"/>
  <c r="AI577" i="2"/>
  <c r="AI578" i="2"/>
  <c r="AI579" i="2"/>
  <c r="AI580" i="2"/>
  <c r="AI581" i="2"/>
  <c r="AI582" i="2"/>
  <c r="AI583" i="2"/>
  <c r="AI584" i="2"/>
  <c r="AI585" i="2"/>
  <c r="AI586" i="2"/>
  <c r="AI587" i="2"/>
  <c r="AI588" i="2"/>
  <c r="AI589" i="2"/>
  <c r="AI590" i="2"/>
  <c r="AI591" i="2"/>
  <c r="AI592" i="2"/>
  <c r="AI593" i="2"/>
  <c r="AI594" i="2"/>
  <c r="AI595" i="2"/>
  <c r="AI596" i="2"/>
  <c r="AI597" i="2"/>
  <c r="AI598" i="2"/>
  <c r="AI599" i="2"/>
  <c r="AI600" i="2"/>
  <c r="AI601" i="2"/>
  <c r="AI602" i="2"/>
  <c r="AI603" i="2"/>
  <c r="AI604" i="2"/>
  <c r="AI605" i="2"/>
  <c r="AI606" i="2"/>
  <c r="AI607" i="2"/>
  <c r="AI608" i="2"/>
  <c r="AI609" i="2"/>
  <c r="AI610" i="2"/>
  <c r="AI611" i="2"/>
  <c r="AI612" i="2"/>
  <c r="AI613" i="2"/>
  <c r="AI614" i="2"/>
  <c r="AI615" i="2"/>
  <c r="AI616" i="2"/>
  <c r="AI617" i="2"/>
  <c r="AI618" i="2"/>
  <c r="AI619" i="2"/>
  <c r="AI620" i="2"/>
  <c r="AI621" i="2"/>
  <c r="AI622" i="2"/>
  <c r="AI623" i="2"/>
  <c r="AI624" i="2"/>
  <c r="AI625" i="2"/>
  <c r="AI626" i="2"/>
  <c r="AI627" i="2"/>
  <c r="AI628" i="2"/>
  <c r="AI629" i="2"/>
  <c r="AI630" i="2"/>
  <c r="AI631" i="2"/>
  <c r="AI632" i="2"/>
  <c r="AI633" i="2"/>
  <c r="AI634" i="2"/>
  <c r="AI635" i="2"/>
  <c r="AI636" i="2"/>
  <c r="AI637" i="2"/>
  <c r="AI638" i="2"/>
  <c r="AI639" i="2"/>
  <c r="AI640" i="2"/>
  <c r="AI641" i="2"/>
  <c r="AI642" i="2"/>
  <c r="AI643" i="2"/>
  <c r="AI644" i="2"/>
  <c r="AI645" i="2"/>
  <c r="AI646" i="2"/>
  <c r="AI647" i="2"/>
  <c r="AI648" i="2"/>
  <c r="AI649" i="2"/>
  <c r="AI650" i="2"/>
  <c r="AI651" i="2"/>
  <c r="AI652" i="2"/>
  <c r="AI653" i="2"/>
  <c r="AI654" i="2"/>
  <c r="AI655" i="2"/>
  <c r="AI656" i="2"/>
  <c r="AI657" i="2"/>
  <c r="AI658" i="2"/>
  <c r="AI659" i="2"/>
  <c r="AI660" i="2"/>
  <c r="AI661" i="2"/>
  <c r="AI662" i="2"/>
  <c r="AI663" i="2"/>
  <c r="AI664" i="2"/>
  <c r="AI665" i="2"/>
  <c r="AI666" i="2"/>
  <c r="AI667" i="2"/>
  <c r="AI668" i="2"/>
  <c r="AI669" i="2"/>
  <c r="AI670" i="2"/>
  <c r="AI671" i="2"/>
  <c r="AI672" i="2"/>
  <c r="AI673" i="2"/>
  <c r="AI674" i="2"/>
  <c r="AI675" i="2"/>
  <c r="AI676" i="2"/>
  <c r="AI677" i="2"/>
  <c r="AI678" i="2"/>
  <c r="AI679" i="2"/>
  <c r="AI680" i="2"/>
  <c r="AI681" i="2"/>
  <c r="AI682" i="2"/>
  <c r="AI683" i="2"/>
  <c r="AI684" i="2"/>
  <c r="AI685" i="2"/>
  <c r="AI686" i="2"/>
  <c r="AI687" i="2"/>
  <c r="AI688" i="2"/>
  <c r="AI689" i="2"/>
  <c r="AI690" i="2"/>
  <c r="AI691" i="2"/>
  <c r="AI692" i="2"/>
  <c r="AI693" i="2"/>
  <c r="AI694" i="2"/>
  <c r="AI695" i="2"/>
  <c r="AI696" i="2"/>
  <c r="AI697" i="2"/>
  <c r="AI698" i="2"/>
  <c r="AI699" i="2"/>
  <c r="AI700" i="2"/>
  <c r="AI701" i="2"/>
  <c r="AI702" i="2"/>
  <c r="AI703" i="2"/>
  <c r="AI704" i="2"/>
  <c r="AI705" i="2"/>
  <c r="AI706" i="2"/>
  <c r="AI707" i="2"/>
  <c r="AI708" i="2"/>
  <c r="AI709" i="2"/>
  <c r="AI710" i="2"/>
  <c r="AI711" i="2"/>
  <c r="AI712" i="2"/>
  <c r="AI713" i="2"/>
  <c r="AI714" i="2"/>
  <c r="AI715" i="2"/>
  <c r="AI716" i="2"/>
  <c r="AI717" i="2"/>
  <c r="AI718" i="2"/>
  <c r="AI719" i="2"/>
  <c r="AI720" i="2"/>
  <c r="AI721" i="2"/>
  <c r="AI722" i="2"/>
  <c r="AI723" i="2"/>
  <c r="AI724" i="2"/>
  <c r="AI725" i="2"/>
  <c r="AI726" i="2"/>
  <c r="AI727" i="2"/>
  <c r="AI728" i="2"/>
  <c r="AI729" i="2"/>
  <c r="AI730" i="2"/>
  <c r="AI731" i="2"/>
  <c r="AI732" i="2"/>
  <c r="AI733" i="2"/>
  <c r="AI734" i="2"/>
  <c r="AI735" i="2"/>
  <c r="AI736" i="2"/>
  <c r="AI737" i="2"/>
  <c r="AI738" i="2"/>
  <c r="AI739" i="2"/>
  <c r="AI740" i="2"/>
  <c r="AI741" i="2"/>
  <c r="AI742" i="2"/>
  <c r="AI743" i="2"/>
  <c r="AI744" i="2"/>
  <c r="AI745" i="2"/>
  <c r="AI746" i="2"/>
  <c r="AI747" i="2"/>
  <c r="AI748" i="2"/>
  <c r="AI749" i="2"/>
  <c r="AI750" i="2"/>
  <c r="AI751" i="2"/>
  <c r="AI752" i="2"/>
  <c r="AI753" i="2"/>
  <c r="AI754" i="2"/>
  <c r="AI755" i="2"/>
  <c r="AI756" i="2"/>
  <c r="AI757" i="2"/>
  <c r="AI758" i="2"/>
  <c r="AI759" i="2"/>
  <c r="AI760" i="2"/>
  <c r="AI761" i="2"/>
  <c r="AI762" i="2"/>
  <c r="AI763" i="2"/>
  <c r="AI764" i="2"/>
  <c r="AI765" i="2"/>
  <c r="AI766" i="2"/>
  <c r="AI767" i="2"/>
  <c r="AI768" i="2"/>
  <c r="AI769" i="2"/>
  <c r="AI770" i="2"/>
  <c r="AI771" i="2"/>
  <c r="AI772" i="2"/>
  <c r="AI773" i="2"/>
  <c r="AI774" i="2"/>
  <c r="AI775" i="2"/>
  <c r="AI776" i="2"/>
  <c r="AI777" i="2"/>
  <c r="AI778" i="2"/>
  <c r="AI779" i="2"/>
  <c r="AI780" i="2"/>
  <c r="AI781" i="2"/>
  <c r="AI782" i="2"/>
  <c r="AI783" i="2"/>
  <c r="AI784" i="2"/>
  <c r="AI785" i="2"/>
  <c r="AI786" i="2"/>
  <c r="AI787" i="2"/>
  <c r="AI788" i="2"/>
  <c r="AI789" i="2"/>
  <c r="AI790" i="2"/>
  <c r="AI791" i="2"/>
  <c r="AI792" i="2"/>
  <c r="AI793" i="2"/>
  <c r="AI794" i="2"/>
  <c r="AI795" i="2"/>
  <c r="AI796" i="2"/>
  <c r="AI797" i="2"/>
  <c r="AI798" i="2"/>
  <c r="AI799" i="2"/>
  <c r="AI800" i="2"/>
  <c r="AI801" i="2"/>
  <c r="AI802" i="2"/>
  <c r="AI803" i="2"/>
  <c r="AI804" i="2"/>
  <c r="AI805" i="2"/>
  <c r="AI806" i="2"/>
  <c r="AI807" i="2"/>
  <c r="AI808" i="2"/>
  <c r="AI809" i="2"/>
  <c r="AI810" i="2"/>
  <c r="AI811" i="2"/>
  <c r="AI812" i="2"/>
  <c r="AI813" i="2"/>
  <c r="AI814" i="2"/>
  <c r="AI815" i="2"/>
  <c r="AI816" i="2"/>
  <c r="AI817" i="2"/>
  <c r="AI818" i="2"/>
  <c r="AI819" i="2"/>
  <c r="AI820" i="2"/>
  <c r="AI821" i="2"/>
  <c r="AI822" i="2"/>
  <c r="AI823" i="2"/>
  <c r="AI824" i="2"/>
  <c r="AI825" i="2"/>
  <c r="AI826" i="2"/>
  <c r="AI827" i="2"/>
  <c r="AI828" i="2"/>
  <c r="AI829" i="2"/>
  <c r="AI830" i="2"/>
  <c r="AI831" i="2"/>
  <c r="AI832" i="2"/>
  <c r="AI833" i="2"/>
  <c r="AI834" i="2"/>
  <c r="AI835" i="2"/>
  <c r="AI836" i="2"/>
  <c r="AI837" i="2"/>
  <c r="AI838" i="2"/>
  <c r="AI839" i="2"/>
  <c r="AI840" i="2"/>
  <c r="AI841" i="2"/>
  <c r="AI842" i="2"/>
  <c r="AI843" i="2"/>
  <c r="AI844" i="2"/>
  <c r="AI845" i="2"/>
  <c r="AI846" i="2"/>
  <c r="AI847" i="2"/>
  <c r="AI848" i="2"/>
  <c r="AI849" i="2"/>
  <c r="AI850" i="2"/>
  <c r="AI851" i="2"/>
  <c r="AI852" i="2"/>
  <c r="AI853" i="2"/>
  <c r="AI854" i="2"/>
  <c r="AI855" i="2"/>
  <c r="AI856" i="2"/>
  <c r="AI857" i="2"/>
  <c r="AI858" i="2"/>
  <c r="AI859" i="2"/>
  <c r="AI860" i="2"/>
  <c r="AI861" i="2"/>
  <c r="AI862" i="2"/>
  <c r="AI863" i="2"/>
  <c r="AI864" i="2"/>
  <c r="AI865" i="2"/>
  <c r="AI866" i="2"/>
  <c r="AI867" i="2"/>
  <c r="AI868" i="2"/>
  <c r="AI869" i="2"/>
  <c r="AI870" i="2"/>
  <c r="AI871" i="2"/>
  <c r="AI872" i="2"/>
  <c r="AI873" i="2"/>
  <c r="AI874" i="2"/>
  <c r="AI875" i="2"/>
  <c r="AI876" i="2"/>
  <c r="AI877" i="2"/>
  <c r="AI878" i="2"/>
  <c r="AI879" i="2"/>
  <c r="AI880" i="2"/>
  <c r="AI881" i="2"/>
  <c r="AI882" i="2"/>
  <c r="AI883" i="2"/>
  <c r="AI884" i="2"/>
  <c r="AI885" i="2"/>
  <c r="AI886" i="2"/>
  <c r="AI887" i="2"/>
  <c r="AI888" i="2"/>
  <c r="AI889" i="2"/>
  <c r="AI890" i="2"/>
  <c r="AI891" i="2"/>
  <c r="AI892" i="2"/>
  <c r="AI893" i="2"/>
  <c r="AI894" i="2"/>
  <c r="AI895" i="2"/>
  <c r="AI896" i="2"/>
  <c r="AI897" i="2"/>
  <c r="AI898" i="2"/>
  <c r="AI899" i="2"/>
  <c r="AI900" i="2"/>
  <c r="AI901" i="2"/>
  <c r="AI902" i="2"/>
  <c r="AI903" i="2"/>
  <c r="AI904" i="2"/>
  <c r="AI905" i="2"/>
  <c r="AI906" i="2"/>
  <c r="AI907" i="2"/>
  <c r="AI908" i="2"/>
  <c r="AI909" i="2"/>
  <c r="AI910" i="2"/>
  <c r="AI911" i="2"/>
  <c r="AI912" i="2"/>
  <c r="AI913" i="2"/>
  <c r="AI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H520" i="2"/>
  <c r="AH521" i="2"/>
  <c r="AH522" i="2"/>
  <c r="AH523" i="2"/>
  <c r="AH524" i="2"/>
  <c r="AH525" i="2"/>
  <c r="AH526" i="2"/>
  <c r="AH527" i="2"/>
  <c r="AH528" i="2"/>
  <c r="AH529" i="2"/>
  <c r="AH530" i="2"/>
  <c r="AH531" i="2"/>
  <c r="AH532" i="2"/>
  <c r="AH533" i="2"/>
  <c r="AH534" i="2"/>
  <c r="AH535" i="2"/>
  <c r="AH536" i="2"/>
  <c r="AH537" i="2"/>
  <c r="AH538" i="2"/>
  <c r="AH539" i="2"/>
  <c r="AH540" i="2"/>
  <c r="AH541" i="2"/>
  <c r="AH542" i="2"/>
  <c r="AH543" i="2"/>
  <c r="AH544" i="2"/>
  <c r="AH545" i="2"/>
  <c r="AH546" i="2"/>
  <c r="AH547" i="2"/>
  <c r="AH548" i="2"/>
  <c r="AH549" i="2"/>
  <c r="AH550" i="2"/>
  <c r="AH551" i="2"/>
  <c r="AH552" i="2"/>
  <c r="AH553" i="2"/>
  <c r="AH554" i="2"/>
  <c r="AH555" i="2"/>
  <c r="AH556" i="2"/>
  <c r="AH557" i="2"/>
  <c r="AH558" i="2"/>
  <c r="AH559" i="2"/>
  <c r="AH560" i="2"/>
  <c r="AH561" i="2"/>
  <c r="AH562" i="2"/>
  <c r="AH563" i="2"/>
  <c r="AH564" i="2"/>
  <c r="AH565" i="2"/>
  <c r="AH566" i="2"/>
  <c r="AH567" i="2"/>
  <c r="AH568" i="2"/>
  <c r="AH569" i="2"/>
  <c r="AH570" i="2"/>
  <c r="AH571" i="2"/>
  <c r="AH572" i="2"/>
  <c r="AH573" i="2"/>
  <c r="AH574" i="2"/>
  <c r="AH575" i="2"/>
  <c r="AH576" i="2"/>
  <c r="AH577" i="2"/>
  <c r="AH578" i="2"/>
  <c r="AH579" i="2"/>
  <c r="AH580" i="2"/>
  <c r="AH581" i="2"/>
  <c r="AH582" i="2"/>
  <c r="AH583" i="2"/>
  <c r="AH584" i="2"/>
  <c r="AH585" i="2"/>
  <c r="AH586" i="2"/>
  <c r="AH587" i="2"/>
  <c r="AH588" i="2"/>
  <c r="AH589" i="2"/>
  <c r="AH590" i="2"/>
  <c r="AH591" i="2"/>
  <c r="AH592" i="2"/>
  <c r="AH593" i="2"/>
  <c r="AH594" i="2"/>
  <c r="AH595" i="2"/>
  <c r="AH596" i="2"/>
  <c r="AH597" i="2"/>
  <c r="AH598" i="2"/>
  <c r="AH599" i="2"/>
  <c r="AH600" i="2"/>
  <c r="AH601" i="2"/>
  <c r="AH602" i="2"/>
  <c r="AH603" i="2"/>
  <c r="AH604" i="2"/>
  <c r="AH605" i="2"/>
  <c r="AH606" i="2"/>
  <c r="AH607" i="2"/>
  <c r="AH608" i="2"/>
  <c r="AH609" i="2"/>
  <c r="AH610" i="2"/>
  <c r="AH611" i="2"/>
  <c r="AH612" i="2"/>
  <c r="AH613" i="2"/>
  <c r="AH614" i="2"/>
  <c r="AH615" i="2"/>
  <c r="AH616" i="2"/>
  <c r="AH617" i="2"/>
  <c r="AH618" i="2"/>
  <c r="AH619" i="2"/>
  <c r="AH620" i="2"/>
  <c r="AH621" i="2"/>
  <c r="AH622" i="2"/>
  <c r="AH623" i="2"/>
  <c r="AH624" i="2"/>
  <c r="AH625" i="2"/>
  <c r="AH626" i="2"/>
  <c r="AH627" i="2"/>
  <c r="AH628" i="2"/>
  <c r="AH629" i="2"/>
  <c r="AH630" i="2"/>
  <c r="AH631" i="2"/>
  <c r="AH632" i="2"/>
  <c r="AH633" i="2"/>
  <c r="AH634" i="2"/>
  <c r="AH635" i="2"/>
  <c r="AH636" i="2"/>
  <c r="AH637" i="2"/>
  <c r="AH638" i="2"/>
  <c r="AH639" i="2"/>
  <c r="AH640" i="2"/>
  <c r="AH641" i="2"/>
  <c r="AH642" i="2"/>
  <c r="AH643" i="2"/>
  <c r="AH644" i="2"/>
  <c r="AH645" i="2"/>
  <c r="AH646" i="2"/>
  <c r="AH647" i="2"/>
  <c r="AH648" i="2"/>
  <c r="AH649" i="2"/>
  <c r="AH650" i="2"/>
  <c r="AH651" i="2"/>
  <c r="AH652" i="2"/>
  <c r="AH653" i="2"/>
  <c r="AH654" i="2"/>
  <c r="AH655" i="2"/>
  <c r="AH656" i="2"/>
  <c r="AH657" i="2"/>
  <c r="AH658" i="2"/>
  <c r="AH659" i="2"/>
  <c r="AH660" i="2"/>
  <c r="AH661" i="2"/>
  <c r="AH662" i="2"/>
  <c r="AH663" i="2"/>
  <c r="AH664" i="2"/>
  <c r="AH665" i="2"/>
  <c r="AH666" i="2"/>
  <c r="AH667" i="2"/>
  <c r="AH668" i="2"/>
  <c r="AH669" i="2"/>
  <c r="AH670" i="2"/>
  <c r="AH671" i="2"/>
  <c r="AH672" i="2"/>
  <c r="AH673" i="2"/>
  <c r="AH674" i="2"/>
  <c r="AH675" i="2"/>
  <c r="AH676" i="2"/>
  <c r="AH677" i="2"/>
  <c r="AH678" i="2"/>
  <c r="AH679" i="2"/>
  <c r="AH680" i="2"/>
  <c r="AH681" i="2"/>
  <c r="AH682" i="2"/>
  <c r="AH683" i="2"/>
  <c r="AH684" i="2"/>
  <c r="AH685" i="2"/>
  <c r="AH686" i="2"/>
  <c r="AH687" i="2"/>
  <c r="AH688" i="2"/>
  <c r="AH689" i="2"/>
  <c r="AH690" i="2"/>
  <c r="AH691" i="2"/>
  <c r="AH692" i="2"/>
  <c r="AH693" i="2"/>
  <c r="AH694" i="2"/>
  <c r="AH695" i="2"/>
  <c r="AH696" i="2"/>
  <c r="AH697" i="2"/>
  <c r="AH698" i="2"/>
  <c r="AH699" i="2"/>
  <c r="AH700" i="2"/>
  <c r="AH701" i="2"/>
  <c r="AH702" i="2"/>
  <c r="AH703" i="2"/>
  <c r="AH704" i="2"/>
  <c r="AH705" i="2"/>
  <c r="AH706" i="2"/>
  <c r="AH707" i="2"/>
  <c r="AH708" i="2"/>
  <c r="AH709" i="2"/>
  <c r="AH710" i="2"/>
  <c r="AH711" i="2"/>
  <c r="AH712" i="2"/>
  <c r="AH713" i="2"/>
  <c r="AH714" i="2"/>
  <c r="AH715" i="2"/>
  <c r="AH716" i="2"/>
  <c r="AH717" i="2"/>
  <c r="AH718" i="2"/>
  <c r="AH719" i="2"/>
  <c r="AH720" i="2"/>
  <c r="AH721" i="2"/>
  <c r="AH722" i="2"/>
  <c r="AH723" i="2"/>
  <c r="AH724" i="2"/>
  <c r="AH725" i="2"/>
  <c r="AH726" i="2"/>
  <c r="AH727" i="2"/>
  <c r="AH728" i="2"/>
  <c r="AH729" i="2"/>
  <c r="AH730" i="2"/>
  <c r="AH731" i="2"/>
  <c r="AH732" i="2"/>
  <c r="AH733" i="2"/>
  <c r="AH734" i="2"/>
  <c r="AH735" i="2"/>
  <c r="AH736" i="2"/>
  <c r="AH737" i="2"/>
  <c r="AH738" i="2"/>
  <c r="AH739" i="2"/>
  <c r="AH740" i="2"/>
  <c r="AH741" i="2"/>
  <c r="AH742" i="2"/>
  <c r="AH743" i="2"/>
  <c r="AH744" i="2"/>
  <c r="AH745" i="2"/>
  <c r="AH746" i="2"/>
  <c r="AH747" i="2"/>
  <c r="AH748" i="2"/>
  <c r="AH749" i="2"/>
  <c r="AH750" i="2"/>
  <c r="AH751" i="2"/>
  <c r="AH752" i="2"/>
  <c r="AH753" i="2"/>
  <c r="AH754" i="2"/>
  <c r="AH755" i="2"/>
  <c r="AH756" i="2"/>
  <c r="AH757" i="2"/>
  <c r="AH758" i="2"/>
  <c r="AH759" i="2"/>
  <c r="AH760" i="2"/>
  <c r="AH761" i="2"/>
  <c r="AH762" i="2"/>
  <c r="AH763" i="2"/>
  <c r="AH764" i="2"/>
  <c r="AH765" i="2"/>
  <c r="AH766" i="2"/>
  <c r="AH767" i="2"/>
  <c r="AH768" i="2"/>
  <c r="AH769" i="2"/>
  <c r="AH770" i="2"/>
  <c r="AH771" i="2"/>
  <c r="AH772" i="2"/>
  <c r="AH773" i="2"/>
  <c r="AH774" i="2"/>
  <c r="AH775" i="2"/>
  <c r="AH776" i="2"/>
  <c r="AH777" i="2"/>
  <c r="AH778" i="2"/>
  <c r="AH779" i="2"/>
  <c r="AH780" i="2"/>
  <c r="AH781" i="2"/>
  <c r="AH782" i="2"/>
  <c r="AH783" i="2"/>
  <c r="AH784" i="2"/>
  <c r="AH785" i="2"/>
  <c r="AH786" i="2"/>
  <c r="AH787" i="2"/>
  <c r="AH788" i="2"/>
  <c r="AH789" i="2"/>
  <c r="AH790" i="2"/>
  <c r="AH791" i="2"/>
  <c r="AH792" i="2"/>
  <c r="AH793" i="2"/>
  <c r="AH794" i="2"/>
  <c r="AH795" i="2"/>
  <c r="AH796" i="2"/>
  <c r="AH797" i="2"/>
  <c r="AH798" i="2"/>
  <c r="AH799" i="2"/>
  <c r="AH800" i="2"/>
  <c r="AH801" i="2"/>
  <c r="AH802" i="2"/>
  <c r="AH803" i="2"/>
  <c r="AH804" i="2"/>
  <c r="AH805" i="2"/>
  <c r="AH806" i="2"/>
  <c r="AH807" i="2"/>
  <c r="AH808" i="2"/>
  <c r="AH809" i="2"/>
  <c r="AH810" i="2"/>
  <c r="AH811" i="2"/>
  <c r="AH812" i="2"/>
  <c r="AH813" i="2"/>
  <c r="AH814" i="2"/>
  <c r="AH815" i="2"/>
  <c r="AH816" i="2"/>
  <c r="AH817" i="2"/>
  <c r="AH818" i="2"/>
  <c r="AH819" i="2"/>
  <c r="AH820" i="2"/>
  <c r="AH821" i="2"/>
  <c r="AH822" i="2"/>
  <c r="AH823" i="2"/>
  <c r="AH824" i="2"/>
  <c r="AH825" i="2"/>
  <c r="AH826" i="2"/>
  <c r="AH827" i="2"/>
  <c r="AH828" i="2"/>
  <c r="AH829" i="2"/>
  <c r="AH830" i="2"/>
  <c r="AH831" i="2"/>
  <c r="AH832" i="2"/>
  <c r="AH833" i="2"/>
  <c r="AH834" i="2"/>
  <c r="AH835" i="2"/>
  <c r="AH836" i="2"/>
  <c r="AH837" i="2"/>
  <c r="AH838" i="2"/>
  <c r="AH839" i="2"/>
  <c r="AH840" i="2"/>
  <c r="AH841" i="2"/>
  <c r="AH842" i="2"/>
  <c r="AH843" i="2"/>
  <c r="AH844" i="2"/>
  <c r="AH845" i="2"/>
  <c r="AH846" i="2"/>
  <c r="AH847" i="2"/>
  <c r="AH848" i="2"/>
  <c r="AH849" i="2"/>
  <c r="AH850" i="2"/>
  <c r="AH851" i="2"/>
  <c r="AH852" i="2"/>
  <c r="AH853" i="2"/>
  <c r="AH854" i="2"/>
  <c r="AH855" i="2"/>
  <c r="AH856" i="2"/>
  <c r="AH857" i="2"/>
  <c r="AH858" i="2"/>
  <c r="AH859" i="2"/>
  <c r="AH860" i="2"/>
  <c r="AH861" i="2"/>
  <c r="AH862" i="2"/>
  <c r="AH863" i="2"/>
  <c r="AH864" i="2"/>
  <c r="AH865" i="2"/>
  <c r="AH866" i="2"/>
  <c r="AH867" i="2"/>
  <c r="AH868" i="2"/>
  <c r="AH869" i="2"/>
  <c r="AH870" i="2"/>
  <c r="AH871" i="2"/>
  <c r="AH872" i="2"/>
  <c r="AH873" i="2"/>
  <c r="AH874" i="2"/>
  <c r="AH875" i="2"/>
  <c r="AH876" i="2"/>
  <c r="AH877" i="2"/>
  <c r="AH878" i="2"/>
  <c r="AH879" i="2"/>
  <c r="AH880" i="2"/>
  <c r="AH881" i="2"/>
  <c r="AH882" i="2"/>
  <c r="AH883" i="2"/>
  <c r="AH884" i="2"/>
  <c r="AH885" i="2"/>
  <c r="AH886" i="2"/>
  <c r="AH887" i="2"/>
  <c r="AH888" i="2"/>
  <c r="AH889" i="2"/>
  <c r="AH890" i="2"/>
  <c r="AH891" i="2"/>
  <c r="AH892" i="2"/>
  <c r="AH893" i="2"/>
  <c r="AH894" i="2"/>
  <c r="AH895" i="2"/>
  <c r="AH896" i="2"/>
  <c r="AH897" i="2"/>
  <c r="AH898" i="2"/>
  <c r="AH899" i="2"/>
  <c r="AH900" i="2"/>
  <c r="AH901" i="2"/>
  <c r="AH902" i="2"/>
  <c r="AH903" i="2"/>
  <c r="AH904" i="2"/>
  <c r="AH905" i="2"/>
  <c r="AH906" i="2"/>
  <c r="AH907" i="2"/>
  <c r="AH908" i="2"/>
  <c r="AH909" i="2"/>
  <c r="AH910" i="2"/>
  <c r="AH911" i="2"/>
  <c r="AH912" i="2"/>
  <c r="AH913" i="2"/>
  <c r="AH2" i="2"/>
  <c r="AD3" i="2"/>
  <c r="AE3" i="2" s="1"/>
  <c r="AD4" i="2"/>
  <c r="AE4" i="2" s="1"/>
  <c r="AD5" i="2"/>
  <c r="AE5" i="2" s="1"/>
  <c r="AD6" i="2"/>
  <c r="AE6" i="2" s="1"/>
  <c r="AD7" i="2"/>
  <c r="AE7" i="2" s="1"/>
  <c r="AD8" i="2"/>
  <c r="AE8" i="2" s="1"/>
  <c r="AD9" i="2"/>
  <c r="AE9" i="2" s="1"/>
  <c r="AD10" i="2"/>
  <c r="AE10" i="2" s="1"/>
  <c r="AD11" i="2"/>
  <c r="AE11" i="2" s="1"/>
  <c r="AD12" i="2"/>
  <c r="AE12" i="2" s="1"/>
  <c r="AD13" i="2"/>
  <c r="AE13" i="2" s="1"/>
  <c r="AD14" i="2"/>
  <c r="AE14" i="2" s="1"/>
  <c r="AD15" i="2"/>
  <c r="AE15" i="2" s="1"/>
  <c r="AD16" i="2"/>
  <c r="AE16" i="2" s="1"/>
  <c r="AD17" i="2"/>
  <c r="AE17" i="2" s="1"/>
  <c r="AD18" i="2"/>
  <c r="AE18" i="2" s="1"/>
  <c r="AD19" i="2"/>
  <c r="AE19" i="2" s="1"/>
  <c r="AD20" i="2"/>
  <c r="AE20" i="2" s="1"/>
  <c r="AD21" i="2"/>
  <c r="AE21" i="2" s="1"/>
  <c r="AD22" i="2"/>
  <c r="AE22" i="2" s="1"/>
  <c r="AD23" i="2"/>
  <c r="AE23" i="2" s="1"/>
  <c r="AD24" i="2"/>
  <c r="AE24" i="2" s="1"/>
  <c r="AD25" i="2"/>
  <c r="AE25" i="2" s="1"/>
  <c r="AD26" i="2"/>
  <c r="AE26" i="2" s="1"/>
  <c r="AD27" i="2"/>
  <c r="AE27" i="2" s="1"/>
  <c r="AD28" i="2"/>
  <c r="AE28" i="2" s="1"/>
  <c r="AD29" i="2"/>
  <c r="AE29" i="2" s="1"/>
  <c r="AD30" i="2"/>
  <c r="AE30" i="2" s="1"/>
  <c r="AD31" i="2"/>
  <c r="AE31" i="2" s="1"/>
  <c r="AD32" i="2"/>
  <c r="AE32" i="2" s="1"/>
  <c r="AD33" i="2"/>
  <c r="AE33" i="2" s="1"/>
  <c r="AD34" i="2"/>
  <c r="AE34" i="2" s="1"/>
  <c r="AD35" i="2"/>
  <c r="AE35" i="2" s="1"/>
  <c r="AD36" i="2"/>
  <c r="AE36" i="2" s="1"/>
  <c r="AD37" i="2"/>
  <c r="AE37" i="2" s="1"/>
  <c r="AD38" i="2"/>
  <c r="AE38" i="2" s="1"/>
  <c r="AD39" i="2"/>
  <c r="AE39" i="2" s="1"/>
  <c r="AD40" i="2"/>
  <c r="AE40" i="2" s="1"/>
  <c r="AD41" i="2"/>
  <c r="AE41" i="2" s="1"/>
  <c r="AD42" i="2"/>
  <c r="AE42" i="2" s="1"/>
  <c r="AD43" i="2"/>
  <c r="AE43" i="2" s="1"/>
  <c r="AD44" i="2"/>
  <c r="AE44" i="2" s="1"/>
  <c r="AD45" i="2"/>
  <c r="AE45" i="2" s="1"/>
  <c r="AD46" i="2"/>
  <c r="AE46" i="2" s="1"/>
  <c r="AD47" i="2"/>
  <c r="AE47" i="2" s="1"/>
  <c r="AD48" i="2"/>
  <c r="AE48" i="2" s="1"/>
  <c r="AD49" i="2"/>
  <c r="AE49" i="2" s="1"/>
  <c r="AD50" i="2"/>
  <c r="AE50" i="2" s="1"/>
  <c r="AD51" i="2"/>
  <c r="AE51" i="2" s="1"/>
  <c r="AD52" i="2"/>
  <c r="AE52" i="2" s="1"/>
  <c r="AD53" i="2"/>
  <c r="AE53" i="2" s="1"/>
  <c r="AD54" i="2"/>
  <c r="AE54" i="2" s="1"/>
  <c r="AD55" i="2"/>
  <c r="AE55" i="2" s="1"/>
  <c r="AD56" i="2"/>
  <c r="AE56" i="2" s="1"/>
  <c r="AD57" i="2"/>
  <c r="AE57" i="2" s="1"/>
  <c r="AD58" i="2"/>
  <c r="AE58" i="2" s="1"/>
  <c r="AD59" i="2"/>
  <c r="AE59" i="2" s="1"/>
  <c r="AD60" i="2"/>
  <c r="AE60" i="2" s="1"/>
  <c r="AD61" i="2"/>
  <c r="AE61" i="2" s="1"/>
  <c r="AD62" i="2"/>
  <c r="AE62" i="2" s="1"/>
  <c r="AD63" i="2"/>
  <c r="AE63" i="2" s="1"/>
  <c r="AD64" i="2"/>
  <c r="AE64" i="2" s="1"/>
  <c r="AD65" i="2"/>
  <c r="AE65" i="2" s="1"/>
  <c r="AD66" i="2"/>
  <c r="AE66" i="2" s="1"/>
  <c r="AD67" i="2"/>
  <c r="AE67" i="2" s="1"/>
  <c r="AD68" i="2"/>
  <c r="AE68" i="2" s="1"/>
  <c r="AD69" i="2"/>
  <c r="AE69" i="2" s="1"/>
  <c r="AD70" i="2"/>
  <c r="AE70" i="2" s="1"/>
  <c r="AD71" i="2"/>
  <c r="AE71" i="2" s="1"/>
  <c r="AD72" i="2"/>
  <c r="AE72" i="2" s="1"/>
  <c r="AD73" i="2"/>
  <c r="AE73" i="2" s="1"/>
  <c r="AD74" i="2"/>
  <c r="AE74" i="2" s="1"/>
  <c r="AD75" i="2"/>
  <c r="AE75" i="2" s="1"/>
  <c r="AD76" i="2"/>
  <c r="AE76" i="2" s="1"/>
  <c r="AD77" i="2"/>
  <c r="AE77" i="2" s="1"/>
  <c r="AD78" i="2"/>
  <c r="AE78" i="2" s="1"/>
  <c r="AD79" i="2"/>
  <c r="AE79" i="2" s="1"/>
  <c r="AD80" i="2"/>
  <c r="AE80" i="2" s="1"/>
  <c r="AD81" i="2"/>
  <c r="AE81" i="2" s="1"/>
  <c r="AD82" i="2"/>
  <c r="AE82" i="2" s="1"/>
  <c r="AD83" i="2"/>
  <c r="AE83" i="2" s="1"/>
  <c r="AD84" i="2"/>
  <c r="AE84" i="2" s="1"/>
  <c r="AD85" i="2"/>
  <c r="AE85" i="2" s="1"/>
  <c r="AD86" i="2"/>
  <c r="AE86" i="2" s="1"/>
  <c r="AD87" i="2"/>
  <c r="AE87" i="2" s="1"/>
  <c r="AD88" i="2"/>
  <c r="AE88" i="2" s="1"/>
  <c r="AD89" i="2"/>
  <c r="AE89" i="2" s="1"/>
  <c r="AD90" i="2"/>
  <c r="AE90" i="2" s="1"/>
  <c r="AD91" i="2"/>
  <c r="AE91" i="2" s="1"/>
  <c r="AD92" i="2"/>
  <c r="AE92" i="2" s="1"/>
  <c r="AD93" i="2"/>
  <c r="AE93" i="2" s="1"/>
  <c r="AD94" i="2"/>
  <c r="AE94" i="2" s="1"/>
  <c r="AD95" i="2"/>
  <c r="AE95" i="2" s="1"/>
  <c r="AD96" i="2"/>
  <c r="AE96" i="2" s="1"/>
  <c r="AD97" i="2"/>
  <c r="AE97" i="2" s="1"/>
  <c r="AD98" i="2"/>
  <c r="AE98" i="2" s="1"/>
  <c r="AD99" i="2"/>
  <c r="AE99" i="2" s="1"/>
  <c r="AD100" i="2"/>
  <c r="AE100" i="2" s="1"/>
  <c r="AD101" i="2"/>
  <c r="AE101" i="2" s="1"/>
  <c r="AD102" i="2"/>
  <c r="AE102" i="2" s="1"/>
  <c r="AD103" i="2"/>
  <c r="AE103" i="2" s="1"/>
  <c r="AD104" i="2"/>
  <c r="AE104" i="2" s="1"/>
  <c r="AD105" i="2"/>
  <c r="AE105" i="2" s="1"/>
  <c r="AD106" i="2"/>
  <c r="AE106" i="2" s="1"/>
  <c r="AD107" i="2"/>
  <c r="AE107" i="2" s="1"/>
  <c r="AD108" i="2"/>
  <c r="AE108" i="2" s="1"/>
  <c r="AD109" i="2"/>
  <c r="AE109" i="2" s="1"/>
  <c r="AD110" i="2"/>
  <c r="AE110" i="2" s="1"/>
  <c r="AD111" i="2"/>
  <c r="AE111" i="2" s="1"/>
  <c r="AD112" i="2"/>
  <c r="AE112" i="2" s="1"/>
  <c r="AD113" i="2"/>
  <c r="AE113" i="2" s="1"/>
  <c r="AD114" i="2"/>
  <c r="AE114" i="2" s="1"/>
  <c r="AD115" i="2"/>
  <c r="AE115" i="2" s="1"/>
  <c r="AD116" i="2"/>
  <c r="AE116" i="2" s="1"/>
  <c r="AD117" i="2"/>
  <c r="AE117" i="2" s="1"/>
  <c r="AD118" i="2"/>
  <c r="AE118" i="2" s="1"/>
  <c r="AE119" i="2"/>
  <c r="AD120" i="2"/>
  <c r="AE120" i="2" s="1"/>
  <c r="AD121" i="2"/>
  <c r="AE121" i="2" s="1"/>
  <c r="AD122" i="2"/>
  <c r="AE122" i="2" s="1"/>
  <c r="AD123" i="2"/>
  <c r="AE123" i="2" s="1"/>
  <c r="AD124" i="2"/>
  <c r="AE124" i="2" s="1"/>
  <c r="AD125" i="2"/>
  <c r="AE125" i="2" s="1"/>
  <c r="AD126" i="2"/>
  <c r="AE126" i="2" s="1"/>
  <c r="AD127" i="2"/>
  <c r="AE127" i="2" s="1"/>
  <c r="AD128" i="2"/>
  <c r="AE128" i="2" s="1"/>
  <c r="AD129" i="2"/>
  <c r="AE129" i="2" s="1"/>
  <c r="AD130" i="2"/>
  <c r="AE130" i="2" s="1"/>
  <c r="AD131" i="2"/>
  <c r="AE131" i="2" s="1"/>
  <c r="AD132" i="2"/>
  <c r="AE132" i="2" s="1"/>
  <c r="AD133" i="2"/>
  <c r="AE133" i="2" s="1"/>
  <c r="AD134" i="2"/>
  <c r="AE134" i="2" s="1"/>
  <c r="AD135" i="2"/>
  <c r="AE135" i="2" s="1"/>
  <c r="AD136" i="2"/>
  <c r="AE136" i="2" s="1"/>
  <c r="AD137" i="2"/>
  <c r="AE137" i="2" s="1"/>
  <c r="AD138" i="2"/>
  <c r="AE138" i="2" s="1"/>
  <c r="AD139" i="2"/>
  <c r="AE139" i="2" s="1"/>
  <c r="AD140" i="2"/>
  <c r="AE140" i="2" s="1"/>
  <c r="AD141" i="2"/>
  <c r="AE141" i="2" s="1"/>
  <c r="AD142" i="2"/>
  <c r="AE142" i="2" s="1"/>
  <c r="AD143" i="2"/>
  <c r="AE143" i="2" s="1"/>
  <c r="AD144" i="2"/>
  <c r="AE144" i="2" s="1"/>
  <c r="AD145" i="2"/>
  <c r="AE145" i="2" s="1"/>
  <c r="AD146" i="2"/>
  <c r="AE146" i="2" s="1"/>
  <c r="AD147" i="2"/>
  <c r="AE147" i="2" s="1"/>
  <c r="AD148" i="2"/>
  <c r="AE148" i="2" s="1"/>
  <c r="AD149" i="2"/>
  <c r="AE149" i="2" s="1"/>
  <c r="AD150" i="2"/>
  <c r="AE150" i="2" s="1"/>
  <c r="AD151" i="2"/>
  <c r="AE151" i="2" s="1"/>
  <c r="AD152" i="2"/>
  <c r="AE152" i="2" s="1"/>
  <c r="AD153" i="2"/>
  <c r="AE153" i="2" s="1"/>
  <c r="AD154" i="2"/>
  <c r="AE154" i="2" s="1"/>
  <c r="AD155" i="2"/>
  <c r="AE155" i="2" s="1"/>
  <c r="AD156" i="2"/>
  <c r="AE156" i="2" s="1"/>
  <c r="AD157" i="2"/>
  <c r="AE157" i="2" s="1"/>
  <c r="AD158" i="2"/>
  <c r="AE158" i="2" s="1"/>
  <c r="AD159" i="2"/>
  <c r="AE159" i="2" s="1"/>
  <c r="AD160" i="2"/>
  <c r="AE160" i="2" s="1"/>
  <c r="AD161" i="2"/>
  <c r="AE161" i="2" s="1"/>
  <c r="AD162" i="2"/>
  <c r="AE162" i="2" s="1"/>
  <c r="AD163" i="2"/>
  <c r="AE163" i="2" s="1"/>
  <c r="AD164" i="2"/>
  <c r="AE164" i="2" s="1"/>
  <c r="AD165" i="2"/>
  <c r="AE165" i="2" s="1"/>
  <c r="AD166" i="2"/>
  <c r="AE166" i="2" s="1"/>
  <c r="AD167" i="2"/>
  <c r="AE167" i="2" s="1"/>
  <c r="AD168" i="2"/>
  <c r="AE168" i="2" s="1"/>
  <c r="AD169" i="2"/>
  <c r="AE169" i="2" s="1"/>
  <c r="AD170" i="2"/>
  <c r="AE170" i="2" s="1"/>
  <c r="AD171" i="2"/>
  <c r="AE171" i="2" s="1"/>
  <c r="AD172" i="2"/>
  <c r="AE172" i="2" s="1"/>
  <c r="AD173" i="2"/>
  <c r="AE173" i="2" s="1"/>
  <c r="AD174" i="2"/>
  <c r="AE174" i="2" s="1"/>
  <c r="AD175" i="2"/>
  <c r="AE175" i="2" s="1"/>
  <c r="AD176" i="2"/>
  <c r="AE176" i="2" s="1"/>
  <c r="AD177" i="2"/>
  <c r="AE177" i="2" s="1"/>
  <c r="AD178" i="2"/>
  <c r="AE178" i="2" s="1"/>
  <c r="AD179" i="2"/>
  <c r="AE179" i="2" s="1"/>
  <c r="AD180" i="2"/>
  <c r="AE180" i="2" s="1"/>
  <c r="AD181" i="2"/>
  <c r="AE181" i="2" s="1"/>
  <c r="AD182" i="2"/>
  <c r="AE182" i="2" s="1"/>
  <c r="AD183" i="2"/>
  <c r="AE183" i="2" s="1"/>
  <c r="AD184" i="2"/>
  <c r="AE184" i="2" s="1"/>
  <c r="AD185" i="2"/>
  <c r="AE185" i="2" s="1"/>
  <c r="AD186" i="2"/>
  <c r="AE186" i="2" s="1"/>
  <c r="AD187" i="2"/>
  <c r="AE187" i="2" s="1"/>
  <c r="AD188" i="2"/>
  <c r="AE188" i="2" s="1"/>
  <c r="AD189" i="2"/>
  <c r="AE189" i="2" s="1"/>
  <c r="AD190" i="2"/>
  <c r="AE190" i="2" s="1"/>
  <c r="AD191" i="2"/>
  <c r="AE191" i="2" s="1"/>
  <c r="AD192" i="2"/>
  <c r="AE192" i="2" s="1"/>
  <c r="AD193" i="2"/>
  <c r="AE193" i="2" s="1"/>
  <c r="AD194" i="2"/>
  <c r="AE194" i="2" s="1"/>
  <c r="AD195" i="2"/>
  <c r="AE195" i="2" s="1"/>
  <c r="AD196" i="2"/>
  <c r="AE196" i="2" s="1"/>
  <c r="AD197" i="2"/>
  <c r="AE197" i="2" s="1"/>
  <c r="AD198" i="2"/>
  <c r="AE198" i="2" s="1"/>
  <c r="AD199" i="2"/>
  <c r="AE199" i="2" s="1"/>
  <c r="AD200" i="2"/>
  <c r="AE200" i="2" s="1"/>
  <c r="AD201" i="2"/>
  <c r="AE201" i="2" s="1"/>
  <c r="AD202" i="2"/>
  <c r="AE202" i="2" s="1"/>
  <c r="AD203" i="2"/>
  <c r="AE203" i="2" s="1"/>
  <c r="AD204" i="2"/>
  <c r="AE204" i="2" s="1"/>
  <c r="AD205" i="2"/>
  <c r="AE205" i="2" s="1"/>
  <c r="AD206" i="2"/>
  <c r="AE206" i="2" s="1"/>
  <c r="AD207" i="2"/>
  <c r="AE207" i="2" s="1"/>
  <c r="AD208" i="2"/>
  <c r="AE208" i="2" s="1"/>
  <c r="AD209" i="2"/>
  <c r="AE209" i="2" s="1"/>
  <c r="AD210" i="2"/>
  <c r="AE210" i="2" s="1"/>
  <c r="AD211" i="2"/>
  <c r="AE211" i="2" s="1"/>
  <c r="AD212" i="2"/>
  <c r="AE212" i="2" s="1"/>
  <c r="AD213" i="2"/>
  <c r="AE213" i="2" s="1"/>
  <c r="AD214" i="2"/>
  <c r="AE214" i="2" s="1"/>
  <c r="AD215" i="2"/>
  <c r="AE215" i="2" s="1"/>
  <c r="AD216" i="2"/>
  <c r="AE216" i="2" s="1"/>
  <c r="AD217" i="2"/>
  <c r="AE217" i="2" s="1"/>
  <c r="AD218" i="2"/>
  <c r="AE218" i="2" s="1"/>
  <c r="AD219" i="2"/>
  <c r="AE219" i="2" s="1"/>
  <c r="AD220" i="2"/>
  <c r="AE220" i="2" s="1"/>
  <c r="AE221" i="2"/>
  <c r="AD222" i="2"/>
  <c r="AE222" i="2" s="1"/>
  <c r="AD223" i="2"/>
  <c r="AE223" i="2" s="1"/>
  <c r="AD224" i="2"/>
  <c r="AE224" i="2" s="1"/>
  <c r="AD225" i="2"/>
  <c r="AE225" i="2" s="1"/>
  <c r="AD226" i="2"/>
  <c r="AE226" i="2" s="1"/>
  <c r="AD227" i="2"/>
  <c r="AE227" i="2" s="1"/>
  <c r="AD228" i="2"/>
  <c r="AE228" i="2" s="1"/>
  <c r="AD229" i="2"/>
  <c r="AE229" i="2" s="1"/>
  <c r="AD230" i="2"/>
  <c r="AE230" i="2" s="1"/>
  <c r="AD231" i="2"/>
  <c r="AE231" i="2" s="1"/>
  <c r="AD232" i="2"/>
  <c r="AE232" i="2" s="1"/>
  <c r="AD233" i="2"/>
  <c r="AE233" i="2" s="1"/>
  <c r="AD234" i="2"/>
  <c r="AE234" i="2" s="1"/>
  <c r="AD235" i="2"/>
  <c r="AE235" i="2" s="1"/>
  <c r="AD236" i="2"/>
  <c r="AE236" i="2" s="1"/>
  <c r="AD237" i="2"/>
  <c r="AE237" i="2" s="1"/>
  <c r="AD238" i="2"/>
  <c r="AE238" i="2" s="1"/>
  <c r="AD239" i="2"/>
  <c r="AE239" i="2" s="1"/>
  <c r="AD240" i="2"/>
  <c r="AE240" i="2" s="1"/>
  <c r="AD241" i="2"/>
  <c r="AE241" i="2" s="1"/>
  <c r="AD242" i="2"/>
  <c r="AE242" i="2" s="1"/>
  <c r="AD243" i="2"/>
  <c r="AE243" i="2" s="1"/>
  <c r="AD244" i="2"/>
  <c r="AE244" i="2" s="1"/>
  <c r="AD245" i="2"/>
  <c r="AE245" i="2" s="1"/>
  <c r="AD246" i="2"/>
  <c r="AE246" i="2" s="1"/>
  <c r="AD247" i="2"/>
  <c r="AE247" i="2" s="1"/>
  <c r="AD248" i="2"/>
  <c r="AE248" i="2" s="1"/>
  <c r="AD249" i="2"/>
  <c r="AE249" i="2" s="1"/>
  <c r="AD250" i="2"/>
  <c r="AE250" i="2" s="1"/>
  <c r="AD251" i="2"/>
  <c r="AE251" i="2" s="1"/>
  <c r="AD252" i="2"/>
  <c r="AE252" i="2" s="1"/>
  <c r="AD253" i="2"/>
  <c r="AE253" i="2" s="1"/>
  <c r="AD254" i="2"/>
  <c r="AE254" i="2" s="1"/>
  <c r="AD255" i="2"/>
  <c r="AE255" i="2" s="1"/>
  <c r="AD256" i="2"/>
  <c r="AE256" i="2" s="1"/>
  <c r="AD257" i="2"/>
  <c r="AE257" i="2" s="1"/>
  <c r="AD258" i="2"/>
  <c r="AE258" i="2" s="1"/>
  <c r="AD259" i="2"/>
  <c r="AE259" i="2" s="1"/>
  <c r="AD260" i="2"/>
  <c r="AE260" i="2" s="1"/>
  <c r="AD261" i="2"/>
  <c r="AE261" i="2" s="1"/>
  <c r="AD262" i="2"/>
  <c r="AE262" i="2" s="1"/>
  <c r="AD263" i="2"/>
  <c r="AE263" i="2" s="1"/>
  <c r="AD264" i="2"/>
  <c r="AE264" i="2" s="1"/>
  <c r="AD265" i="2"/>
  <c r="AE265" i="2" s="1"/>
  <c r="AD266" i="2"/>
  <c r="AE266" i="2" s="1"/>
  <c r="AD267" i="2"/>
  <c r="AE267" i="2" s="1"/>
  <c r="AD268" i="2"/>
  <c r="AE268" i="2" s="1"/>
  <c r="AD269" i="2"/>
  <c r="AE269" i="2" s="1"/>
  <c r="AD270" i="2"/>
  <c r="AE270" i="2" s="1"/>
  <c r="AD271" i="2"/>
  <c r="AE271" i="2" s="1"/>
  <c r="AD272" i="2"/>
  <c r="AE272" i="2" s="1"/>
  <c r="AD273" i="2"/>
  <c r="AE273" i="2" s="1"/>
  <c r="AD274" i="2"/>
  <c r="AE274" i="2" s="1"/>
  <c r="AD275" i="2"/>
  <c r="AE275" i="2" s="1"/>
  <c r="AD276" i="2"/>
  <c r="AE276" i="2" s="1"/>
  <c r="AD277" i="2"/>
  <c r="AE277" i="2" s="1"/>
  <c r="AD278" i="2"/>
  <c r="AE278" i="2" s="1"/>
  <c r="AD279" i="2"/>
  <c r="AE279" i="2" s="1"/>
  <c r="AD280" i="2"/>
  <c r="AE280" i="2" s="1"/>
  <c r="AD281" i="2"/>
  <c r="AE281" i="2" s="1"/>
  <c r="AD282" i="2"/>
  <c r="AE282" i="2" s="1"/>
  <c r="AD283" i="2"/>
  <c r="AE283" i="2" s="1"/>
  <c r="AD284" i="2"/>
  <c r="AE284" i="2" s="1"/>
  <c r="AD285" i="2"/>
  <c r="AE285" i="2" s="1"/>
  <c r="AD286" i="2"/>
  <c r="AE286" i="2" s="1"/>
  <c r="AD287" i="2"/>
  <c r="AE287" i="2" s="1"/>
  <c r="AD288" i="2"/>
  <c r="AE288" i="2" s="1"/>
  <c r="AD289" i="2"/>
  <c r="AE289" i="2" s="1"/>
  <c r="AD290" i="2"/>
  <c r="AE290" i="2" s="1"/>
  <c r="AD291" i="2"/>
  <c r="AE291" i="2" s="1"/>
  <c r="AD292" i="2"/>
  <c r="AE292" i="2" s="1"/>
  <c r="AD293" i="2"/>
  <c r="AE293" i="2" s="1"/>
  <c r="AD294" i="2"/>
  <c r="AE294" i="2" s="1"/>
  <c r="AD295" i="2"/>
  <c r="AE295" i="2" s="1"/>
  <c r="AD296" i="2"/>
  <c r="AE296" i="2" s="1"/>
  <c r="AD297" i="2"/>
  <c r="AE297" i="2" s="1"/>
  <c r="AD298" i="2"/>
  <c r="AE298" i="2" s="1"/>
  <c r="AD299" i="2"/>
  <c r="AE299" i="2" s="1"/>
  <c r="AD300" i="2"/>
  <c r="AE300" i="2" s="1"/>
  <c r="AD301" i="2"/>
  <c r="AE301" i="2" s="1"/>
  <c r="AD302" i="2"/>
  <c r="AE302" i="2" s="1"/>
  <c r="AD303" i="2"/>
  <c r="AE303" i="2" s="1"/>
  <c r="AD304" i="2"/>
  <c r="AE304" i="2" s="1"/>
  <c r="AD305" i="2"/>
  <c r="AE305" i="2" s="1"/>
  <c r="AD306" i="2"/>
  <c r="AE306" i="2" s="1"/>
  <c r="AD307" i="2"/>
  <c r="AE307" i="2" s="1"/>
  <c r="AD308" i="2"/>
  <c r="AE308" i="2" s="1"/>
  <c r="AD309" i="2"/>
  <c r="AE309" i="2" s="1"/>
  <c r="AD310" i="2"/>
  <c r="AE310" i="2" s="1"/>
  <c r="AD311" i="2"/>
  <c r="AE311" i="2" s="1"/>
  <c r="AD312" i="2"/>
  <c r="AE312" i="2" s="1"/>
  <c r="AD313" i="2"/>
  <c r="AE313" i="2" s="1"/>
  <c r="AD314" i="2"/>
  <c r="AE314" i="2" s="1"/>
  <c r="AD315" i="2"/>
  <c r="AE315" i="2" s="1"/>
  <c r="AD316" i="2"/>
  <c r="AE316" i="2" s="1"/>
  <c r="AD317" i="2"/>
  <c r="AE317" i="2" s="1"/>
  <c r="AD318" i="2"/>
  <c r="AE318" i="2" s="1"/>
  <c r="AD319" i="2"/>
  <c r="AE319" i="2" s="1"/>
  <c r="AD320" i="2"/>
  <c r="AE320" i="2" s="1"/>
  <c r="AD321" i="2"/>
  <c r="AE321" i="2" s="1"/>
  <c r="AE322" i="2"/>
  <c r="AD323" i="2"/>
  <c r="AE323" i="2" s="1"/>
  <c r="AD324" i="2"/>
  <c r="AE324" i="2" s="1"/>
  <c r="AD325" i="2"/>
  <c r="AE325" i="2" s="1"/>
  <c r="AD326" i="2"/>
  <c r="AE326" i="2" s="1"/>
  <c r="AD327" i="2"/>
  <c r="AE327" i="2" s="1"/>
  <c r="AD328" i="2"/>
  <c r="AE328" i="2" s="1"/>
  <c r="AD329" i="2"/>
  <c r="AE329" i="2" s="1"/>
  <c r="AD330" i="2"/>
  <c r="AE330" i="2" s="1"/>
  <c r="AD331" i="2"/>
  <c r="AE331" i="2" s="1"/>
  <c r="AD332" i="2"/>
  <c r="AE332" i="2" s="1"/>
  <c r="AD333" i="2"/>
  <c r="AE333" i="2" s="1"/>
  <c r="AD334" i="2"/>
  <c r="AE334" i="2" s="1"/>
  <c r="AD335" i="2"/>
  <c r="AE335" i="2" s="1"/>
  <c r="AD336" i="2"/>
  <c r="AE336" i="2" s="1"/>
  <c r="AD337" i="2"/>
  <c r="AE337" i="2" s="1"/>
  <c r="AD338" i="2"/>
  <c r="AE338" i="2" s="1"/>
  <c r="AD339" i="2"/>
  <c r="AE339" i="2" s="1"/>
  <c r="AD340" i="2"/>
  <c r="AE340" i="2" s="1"/>
  <c r="AD341" i="2"/>
  <c r="AE341" i="2" s="1"/>
  <c r="AD342" i="2"/>
  <c r="AE342" i="2" s="1"/>
  <c r="AD343" i="2"/>
  <c r="AE343" i="2" s="1"/>
  <c r="AD344" i="2"/>
  <c r="AE344" i="2" s="1"/>
  <c r="AD345" i="2"/>
  <c r="AE345" i="2" s="1"/>
  <c r="AD346" i="2"/>
  <c r="AE346" i="2" s="1"/>
  <c r="AD347" i="2"/>
  <c r="AE347" i="2" s="1"/>
  <c r="AD348" i="2"/>
  <c r="AE348" i="2" s="1"/>
  <c r="AD349" i="2"/>
  <c r="AE349" i="2" s="1"/>
  <c r="AD350" i="2"/>
  <c r="AE350" i="2" s="1"/>
  <c r="AD351" i="2"/>
  <c r="AE351" i="2" s="1"/>
  <c r="AD352" i="2"/>
  <c r="AE352" i="2" s="1"/>
  <c r="AD353" i="2"/>
  <c r="AE353" i="2" s="1"/>
  <c r="AD354" i="2"/>
  <c r="AE354" i="2" s="1"/>
  <c r="AD355" i="2"/>
  <c r="AE355" i="2" s="1"/>
  <c r="AD356" i="2"/>
  <c r="AE356" i="2" s="1"/>
  <c r="AD357" i="2"/>
  <c r="AE357" i="2" s="1"/>
  <c r="AD358" i="2"/>
  <c r="AE358" i="2" s="1"/>
  <c r="AD359" i="2"/>
  <c r="AE359" i="2" s="1"/>
  <c r="AD360" i="2"/>
  <c r="AE360" i="2" s="1"/>
  <c r="AD361" i="2"/>
  <c r="AE361" i="2" s="1"/>
  <c r="AD362" i="2"/>
  <c r="AE362" i="2" s="1"/>
  <c r="AD363" i="2"/>
  <c r="AE363" i="2" s="1"/>
  <c r="AD364" i="2"/>
  <c r="AE364" i="2" s="1"/>
  <c r="AD365" i="2"/>
  <c r="AE365" i="2" s="1"/>
  <c r="AD366" i="2"/>
  <c r="AE366" i="2" s="1"/>
  <c r="AD367" i="2"/>
  <c r="AE367" i="2" s="1"/>
  <c r="AD368" i="2"/>
  <c r="AE368" i="2" s="1"/>
  <c r="AD369" i="2"/>
  <c r="AE369" i="2" s="1"/>
  <c r="AD370" i="2"/>
  <c r="AE370" i="2" s="1"/>
  <c r="AD371" i="2"/>
  <c r="AE371" i="2" s="1"/>
  <c r="AD372" i="2"/>
  <c r="AE372" i="2" s="1"/>
  <c r="AD373" i="2"/>
  <c r="AE373" i="2" s="1"/>
  <c r="AD374" i="2"/>
  <c r="AE374" i="2" s="1"/>
  <c r="AD375" i="2"/>
  <c r="AE375" i="2" s="1"/>
  <c r="AD376" i="2"/>
  <c r="AE376" i="2" s="1"/>
  <c r="AD377" i="2"/>
  <c r="AE377" i="2" s="1"/>
  <c r="AD378" i="2"/>
  <c r="AE378" i="2" s="1"/>
  <c r="AD379" i="2"/>
  <c r="AE379" i="2" s="1"/>
  <c r="AD380" i="2"/>
  <c r="AE380" i="2" s="1"/>
  <c r="AD381" i="2"/>
  <c r="AE381" i="2" s="1"/>
  <c r="AD382" i="2"/>
  <c r="AE382" i="2" s="1"/>
  <c r="AD383" i="2"/>
  <c r="AE383" i="2" s="1"/>
  <c r="AD384" i="2"/>
  <c r="AE384" i="2" s="1"/>
  <c r="AD385" i="2"/>
  <c r="AE385" i="2" s="1"/>
  <c r="AD386" i="2"/>
  <c r="AE386" i="2" s="1"/>
  <c r="AD387" i="2"/>
  <c r="AE387" i="2" s="1"/>
  <c r="AD388" i="2"/>
  <c r="AE388" i="2" s="1"/>
  <c r="AD389" i="2"/>
  <c r="AE389" i="2" s="1"/>
  <c r="AD390" i="2"/>
  <c r="AE390" i="2" s="1"/>
  <c r="AD391" i="2"/>
  <c r="AE391" i="2" s="1"/>
  <c r="AD392" i="2"/>
  <c r="AE392" i="2" s="1"/>
  <c r="AD393" i="2"/>
  <c r="AE393" i="2" s="1"/>
  <c r="AD394" i="2"/>
  <c r="AE394" i="2" s="1"/>
  <c r="AD395" i="2"/>
  <c r="AE395" i="2" s="1"/>
  <c r="AD396" i="2"/>
  <c r="AE396" i="2" s="1"/>
  <c r="AD397" i="2"/>
  <c r="AE397" i="2" s="1"/>
  <c r="AD398" i="2"/>
  <c r="AE398" i="2" s="1"/>
  <c r="AD399" i="2"/>
  <c r="AE399" i="2" s="1"/>
  <c r="AD400" i="2"/>
  <c r="AE400" i="2" s="1"/>
  <c r="AD401" i="2"/>
  <c r="AE401" i="2" s="1"/>
  <c r="AD402" i="2"/>
  <c r="AE402" i="2" s="1"/>
  <c r="AD403" i="2"/>
  <c r="AE403" i="2" s="1"/>
  <c r="AD404" i="2"/>
  <c r="AE404" i="2" s="1"/>
  <c r="AD405" i="2"/>
  <c r="AE405" i="2" s="1"/>
  <c r="AD406" i="2"/>
  <c r="AE406" i="2" s="1"/>
  <c r="AD407" i="2"/>
  <c r="AE407" i="2" s="1"/>
  <c r="AD408" i="2"/>
  <c r="AE408" i="2" s="1"/>
  <c r="AD409" i="2"/>
  <c r="AE409" i="2" s="1"/>
  <c r="AD410" i="2"/>
  <c r="AE410" i="2" s="1"/>
  <c r="AD411" i="2"/>
  <c r="AE411" i="2" s="1"/>
  <c r="AD412" i="2"/>
  <c r="AE412" i="2" s="1"/>
  <c r="AD413" i="2"/>
  <c r="AE413" i="2" s="1"/>
  <c r="AD414" i="2"/>
  <c r="AE414" i="2" s="1"/>
  <c r="AD415" i="2"/>
  <c r="AE415" i="2" s="1"/>
  <c r="AD416" i="2"/>
  <c r="AE416" i="2" s="1"/>
  <c r="AD417" i="2"/>
  <c r="AE417" i="2" s="1"/>
  <c r="AD418" i="2"/>
  <c r="AE418" i="2" s="1"/>
  <c r="AD419" i="2"/>
  <c r="AE419" i="2" s="1"/>
  <c r="AD420" i="2"/>
  <c r="AE420" i="2" s="1"/>
  <c r="AD421" i="2"/>
  <c r="AE421" i="2" s="1"/>
  <c r="AD422" i="2"/>
  <c r="AE422" i="2" s="1"/>
  <c r="AD423" i="2"/>
  <c r="AE423" i="2" s="1"/>
  <c r="AD424" i="2"/>
  <c r="AE424" i="2" s="1"/>
  <c r="AD425" i="2"/>
  <c r="AE425" i="2" s="1"/>
  <c r="AD426" i="2"/>
  <c r="AE426" i="2" s="1"/>
  <c r="AD427" i="2"/>
  <c r="AE427" i="2" s="1"/>
  <c r="AD428" i="2"/>
  <c r="AE428" i="2" s="1"/>
  <c r="AD429" i="2"/>
  <c r="AE429" i="2" s="1"/>
  <c r="AD430" i="2"/>
  <c r="AE430" i="2" s="1"/>
  <c r="AD431" i="2"/>
  <c r="AE431" i="2" s="1"/>
  <c r="AD432" i="2"/>
  <c r="AE432" i="2" s="1"/>
  <c r="AD433" i="2"/>
  <c r="AE433" i="2" s="1"/>
  <c r="AD434" i="2"/>
  <c r="AE434" i="2" s="1"/>
  <c r="AD435" i="2"/>
  <c r="AE435" i="2" s="1"/>
  <c r="AD436" i="2"/>
  <c r="AE436" i="2" s="1"/>
  <c r="AD437" i="2"/>
  <c r="AE437" i="2" s="1"/>
  <c r="AD438" i="2"/>
  <c r="AE438" i="2" s="1"/>
  <c r="AD439" i="2"/>
  <c r="AE439" i="2" s="1"/>
  <c r="AD440" i="2"/>
  <c r="AE440" i="2" s="1"/>
  <c r="AD441" i="2"/>
  <c r="AE441" i="2" s="1"/>
  <c r="AD442" i="2"/>
  <c r="AE442" i="2" s="1"/>
  <c r="AD443" i="2"/>
  <c r="AE443" i="2" s="1"/>
  <c r="AD444" i="2"/>
  <c r="AE444" i="2" s="1"/>
  <c r="AD445" i="2"/>
  <c r="AE445" i="2" s="1"/>
  <c r="AD446" i="2"/>
  <c r="AE446" i="2" s="1"/>
  <c r="AD447" i="2"/>
  <c r="AE447" i="2" s="1"/>
  <c r="AD448" i="2"/>
  <c r="AE448" i="2" s="1"/>
  <c r="AD449" i="2"/>
  <c r="AE449" i="2" s="1"/>
  <c r="AD450" i="2"/>
  <c r="AE450" i="2" s="1"/>
  <c r="AD451" i="2"/>
  <c r="AE451" i="2" s="1"/>
  <c r="AD452" i="2"/>
  <c r="AE452" i="2" s="1"/>
  <c r="AD453" i="2"/>
  <c r="AE453" i="2" s="1"/>
  <c r="AD454" i="2"/>
  <c r="AE454" i="2" s="1"/>
  <c r="AD455" i="2"/>
  <c r="AE455" i="2" s="1"/>
  <c r="AD456" i="2"/>
  <c r="AE456" i="2" s="1"/>
  <c r="AD457" i="2"/>
  <c r="AE457" i="2" s="1"/>
  <c r="AD458" i="2"/>
  <c r="AE458" i="2" s="1"/>
  <c r="AD459" i="2"/>
  <c r="AE459" i="2" s="1"/>
  <c r="AD460" i="2"/>
  <c r="AE460" i="2" s="1"/>
  <c r="AD461" i="2"/>
  <c r="AE461" i="2" s="1"/>
  <c r="AD462" i="2"/>
  <c r="AE462" i="2" s="1"/>
  <c r="AD463" i="2"/>
  <c r="AE463" i="2" s="1"/>
  <c r="AD464" i="2"/>
  <c r="AE464" i="2" s="1"/>
  <c r="AD465" i="2"/>
  <c r="AE465" i="2" s="1"/>
  <c r="AD466" i="2"/>
  <c r="AE466" i="2" s="1"/>
  <c r="AD467" i="2"/>
  <c r="AE467" i="2" s="1"/>
  <c r="AD468" i="2"/>
  <c r="AE468" i="2" s="1"/>
  <c r="AD469" i="2"/>
  <c r="AE469" i="2" s="1"/>
  <c r="AD470" i="2"/>
  <c r="AE470" i="2" s="1"/>
  <c r="AD471" i="2"/>
  <c r="AE471" i="2" s="1"/>
  <c r="AD472" i="2"/>
  <c r="AE472" i="2" s="1"/>
  <c r="AD473" i="2"/>
  <c r="AE473" i="2" s="1"/>
  <c r="AD474" i="2"/>
  <c r="AE474" i="2" s="1"/>
  <c r="AD475" i="2"/>
  <c r="AE475" i="2" s="1"/>
  <c r="AD476" i="2"/>
  <c r="AE476" i="2" s="1"/>
  <c r="AD477" i="2"/>
  <c r="AE477" i="2" s="1"/>
  <c r="AD478" i="2"/>
  <c r="AE478" i="2" s="1"/>
  <c r="AD479" i="2"/>
  <c r="AE479" i="2" s="1"/>
  <c r="AD480" i="2"/>
  <c r="AE480" i="2" s="1"/>
  <c r="AD481" i="2"/>
  <c r="AE481" i="2" s="1"/>
  <c r="AD482" i="2"/>
  <c r="AE482" i="2" s="1"/>
  <c r="AE483" i="2"/>
  <c r="AD484" i="2"/>
  <c r="AE484" i="2" s="1"/>
  <c r="AD485" i="2"/>
  <c r="AE485" i="2" s="1"/>
  <c r="AD486" i="2"/>
  <c r="AE486" i="2" s="1"/>
  <c r="AD487" i="2"/>
  <c r="AE487" i="2" s="1"/>
  <c r="AD488" i="2"/>
  <c r="AE488" i="2" s="1"/>
  <c r="AD489" i="2"/>
  <c r="AE489" i="2" s="1"/>
  <c r="AD490" i="2"/>
  <c r="AE490" i="2" s="1"/>
  <c r="AD491" i="2"/>
  <c r="AE491" i="2" s="1"/>
  <c r="AD492" i="2"/>
  <c r="AE492" i="2" s="1"/>
  <c r="AD493" i="2"/>
  <c r="AE493" i="2" s="1"/>
  <c r="AD494" i="2"/>
  <c r="AE494" i="2" s="1"/>
  <c r="AD495" i="2"/>
  <c r="AE495" i="2" s="1"/>
  <c r="AD496" i="2"/>
  <c r="AE496" i="2" s="1"/>
  <c r="AD497" i="2"/>
  <c r="AE497" i="2" s="1"/>
  <c r="AD498" i="2"/>
  <c r="AE498" i="2" s="1"/>
  <c r="AD499" i="2"/>
  <c r="AE499" i="2" s="1"/>
  <c r="AD500" i="2"/>
  <c r="AE500" i="2" s="1"/>
  <c r="AD501" i="2"/>
  <c r="AE501" i="2" s="1"/>
  <c r="AE502" i="2"/>
  <c r="AD503" i="2"/>
  <c r="AE503" i="2" s="1"/>
  <c r="AD504" i="2"/>
  <c r="AE504" i="2" s="1"/>
  <c r="AD505" i="2"/>
  <c r="AE505" i="2" s="1"/>
  <c r="AD506" i="2"/>
  <c r="AE506" i="2" s="1"/>
  <c r="AD507" i="2"/>
  <c r="AE507" i="2" s="1"/>
  <c r="AD508" i="2"/>
  <c r="AE508" i="2" s="1"/>
  <c r="AD509" i="2"/>
  <c r="AE509" i="2" s="1"/>
  <c r="AD510" i="2"/>
  <c r="AE510" i="2" s="1"/>
  <c r="AD511" i="2"/>
  <c r="AE511" i="2" s="1"/>
  <c r="AD512" i="2"/>
  <c r="AE512" i="2" s="1"/>
  <c r="AD513" i="2"/>
  <c r="AE513" i="2" s="1"/>
  <c r="AD514" i="2"/>
  <c r="AE514" i="2" s="1"/>
  <c r="AD515" i="2"/>
  <c r="AE515" i="2" s="1"/>
  <c r="AD516" i="2"/>
  <c r="AE516" i="2" s="1"/>
  <c r="AD517" i="2"/>
  <c r="AE517" i="2" s="1"/>
  <c r="AD518" i="2"/>
  <c r="AE518" i="2" s="1"/>
  <c r="AD519" i="2"/>
  <c r="AE519" i="2" s="1"/>
  <c r="AD520" i="2"/>
  <c r="AE520" i="2" s="1"/>
  <c r="AD521" i="2"/>
  <c r="AE521" i="2" s="1"/>
  <c r="AD522" i="2"/>
  <c r="AE522" i="2" s="1"/>
  <c r="AD523" i="2"/>
  <c r="AE523" i="2" s="1"/>
  <c r="AD524" i="2"/>
  <c r="AE524" i="2" s="1"/>
  <c r="AD525" i="2"/>
  <c r="AE525" i="2" s="1"/>
  <c r="AD526" i="2"/>
  <c r="AE526" i="2" s="1"/>
  <c r="AD527" i="2"/>
  <c r="AE527" i="2" s="1"/>
  <c r="AD528" i="2"/>
  <c r="AE528" i="2" s="1"/>
  <c r="AD529" i="2"/>
  <c r="AE529" i="2" s="1"/>
  <c r="AD530" i="2"/>
  <c r="AE530" i="2" s="1"/>
  <c r="AD531" i="2"/>
  <c r="AE531" i="2" s="1"/>
  <c r="AD532" i="2"/>
  <c r="AE532" i="2" s="1"/>
  <c r="AD533" i="2"/>
  <c r="AE533" i="2" s="1"/>
  <c r="AD534" i="2"/>
  <c r="AE534" i="2" s="1"/>
  <c r="AD535" i="2"/>
  <c r="AE535" i="2" s="1"/>
  <c r="AD536" i="2"/>
  <c r="AE536" i="2" s="1"/>
  <c r="AD537" i="2"/>
  <c r="AE537" i="2" s="1"/>
  <c r="AD538" i="2"/>
  <c r="AE538" i="2" s="1"/>
  <c r="AD539" i="2"/>
  <c r="AE539" i="2" s="1"/>
  <c r="AD540" i="2"/>
  <c r="AE540" i="2" s="1"/>
  <c r="AD541" i="2"/>
  <c r="AE541" i="2" s="1"/>
  <c r="AD542" i="2"/>
  <c r="AE542" i="2" s="1"/>
  <c r="AD543" i="2"/>
  <c r="AE543" i="2" s="1"/>
  <c r="AD544" i="2"/>
  <c r="AE544" i="2" s="1"/>
  <c r="AD545" i="2"/>
  <c r="AE545" i="2" s="1"/>
  <c r="AD546" i="2"/>
  <c r="AE546" i="2" s="1"/>
  <c r="AD547" i="2"/>
  <c r="AE547" i="2" s="1"/>
  <c r="AD548" i="2"/>
  <c r="AE548" i="2" s="1"/>
  <c r="AD549" i="2"/>
  <c r="AE549" i="2" s="1"/>
  <c r="AD550" i="2"/>
  <c r="AE550" i="2" s="1"/>
  <c r="AD551" i="2"/>
  <c r="AE551" i="2" s="1"/>
  <c r="AD552" i="2"/>
  <c r="AE552" i="2" s="1"/>
  <c r="AD553" i="2"/>
  <c r="AE553" i="2" s="1"/>
  <c r="AE554" i="2"/>
  <c r="AD555" i="2"/>
  <c r="AE555" i="2" s="1"/>
  <c r="AD556" i="2"/>
  <c r="AE556" i="2" s="1"/>
  <c r="AD557" i="2"/>
  <c r="AE557" i="2" s="1"/>
  <c r="AD558" i="2"/>
  <c r="AE558" i="2" s="1"/>
  <c r="AD559" i="2"/>
  <c r="AE559" i="2" s="1"/>
  <c r="AD560" i="2"/>
  <c r="AE560" i="2" s="1"/>
  <c r="AD561" i="2"/>
  <c r="AE561" i="2" s="1"/>
  <c r="AD562" i="2"/>
  <c r="AE562" i="2" s="1"/>
  <c r="AD563" i="2"/>
  <c r="AE563" i="2" s="1"/>
  <c r="AD564" i="2"/>
  <c r="AE564" i="2" s="1"/>
  <c r="AD565" i="2"/>
  <c r="AE565" i="2" s="1"/>
  <c r="AD566" i="2"/>
  <c r="AE566" i="2" s="1"/>
  <c r="AD567" i="2"/>
  <c r="AE567" i="2" s="1"/>
  <c r="AD568" i="2"/>
  <c r="AE568" i="2" s="1"/>
  <c r="AD569" i="2"/>
  <c r="AE569" i="2" s="1"/>
  <c r="AD570" i="2"/>
  <c r="AE570" i="2" s="1"/>
  <c r="AD571" i="2"/>
  <c r="AE571" i="2" s="1"/>
  <c r="AD572" i="2"/>
  <c r="AE572" i="2" s="1"/>
  <c r="AD573" i="2"/>
  <c r="AE573" i="2" s="1"/>
  <c r="AD574" i="2"/>
  <c r="AE574" i="2" s="1"/>
  <c r="AD575" i="2"/>
  <c r="AE575" i="2" s="1"/>
  <c r="AD576" i="2"/>
  <c r="AE576" i="2" s="1"/>
  <c r="AD577" i="2"/>
  <c r="AE577" i="2" s="1"/>
  <c r="AD578" i="2"/>
  <c r="AE578" i="2" s="1"/>
  <c r="AD579" i="2"/>
  <c r="AE579" i="2" s="1"/>
  <c r="AD580" i="2"/>
  <c r="AE580" i="2" s="1"/>
  <c r="AD581" i="2"/>
  <c r="AE581" i="2" s="1"/>
  <c r="AD582" i="2"/>
  <c r="AE582" i="2" s="1"/>
  <c r="AD583" i="2"/>
  <c r="AE583" i="2" s="1"/>
  <c r="AD584" i="2"/>
  <c r="AE584" i="2" s="1"/>
  <c r="AD585" i="2"/>
  <c r="AE585" i="2" s="1"/>
  <c r="AD586" i="2"/>
  <c r="AE586" i="2" s="1"/>
  <c r="AD587" i="2"/>
  <c r="AE587" i="2" s="1"/>
  <c r="AD588" i="2"/>
  <c r="AE588" i="2" s="1"/>
  <c r="AD589" i="2"/>
  <c r="AE589" i="2" s="1"/>
  <c r="AD590" i="2"/>
  <c r="AE590" i="2" s="1"/>
  <c r="AD591" i="2"/>
  <c r="AE591" i="2" s="1"/>
  <c r="AD592" i="2"/>
  <c r="AE592" i="2" s="1"/>
  <c r="AD593" i="2"/>
  <c r="AE593" i="2" s="1"/>
  <c r="AD594" i="2"/>
  <c r="AE594" i="2" s="1"/>
  <c r="AD595" i="2"/>
  <c r="AE595" i="2" s="1"/>
  <c r="AD596" i="2"/>
  <c r="AE596" i="2" s="1"/>
  <c r="AD597" i="2"/>
  <c r="AE597" i="2" s="1"/>
  <c r="AD598" i="2"/>
  <c r="AE598" i="2" s="1"/>
  <c r="AD599" i="2"/>
  <c r="AE599" i="2" s="1"/>
  <c r="AD600" i="2"/>
  <c r="AE600" i="2" s="1"/>
  <c r="AD601" i="2"/>
  <c r="AE601" i="2" s="1"/>
  <c r="AD602" i="2"/>
  <c r="AE602" i="2" s="1"/>
  <c r="AD603" i="2"/>
  <c r="AE603" i="2" s="1"/>
  <c r="AD604" i="2"/>
  <c r="AE604" i="2" s="1"/>
  <c r="AD605" i="2"/>
  <c r="AE605" i="2" s="1"/>
  <c r="AD606" i="2"/>
  <c r="AE606" i="2" s="1"/>
  <c r="AE607" i="2"/>
  <c r="AD608" i="2"/>
  <c r="AE608" i="2" s="1"/>
  <c r="AD609" i="2"/>
  <c r="AE609" i="2" s="1"/>
  <c r="AD610" i="2"/>
  <c r="AE610" i="2" s="1"/>
  <c r="AD611" i="2"/>
  <c r="AE611" i="2" s="1"/>
  <c r="AD612" i="2"/>
  <c r="AE612" i="2" s="1"/>
  <c r="AD613" i="2"/>
  <c r="AE613" i="2" s="1"/>
  <c r="AD614" i="2"/>
  <c r="AE614" i="2" s="1"/>
  <c r="AD615" i="2"/>
  <c r="AE615" i="2" s="1"/>
  <c r="AD616" i="2"/>
  <c r="AE616" i="2" s="1"/>
  <c r="AD617" i="2"/>
  <c r="AE617" i="2" s="1"/>
  <c r="AD618" i="2"/>
  <c r="AE618" i="2" s="1"/>
  <c r="AD619" i="2"/>
  <c r="AE619" i="2" s="1"/>
  <c r="AD620" i="2"/>
  <c r="AE620" i="2" s="1"/>
  <c r="AD621" i="2"/>
  <c r="AE621" i="2" s="1"/>
  <c r="AD622" i="2"/>
  <c r="AE622" i="2" s="1"/>
  <c r="AD623" i="2"/>
  <c r="AE623" i="2" s="1"/>
  <c r="AD624" i="2"/>
  <c r="AE624" i="2" s="1"/>
  <c r="AD625" i="2"/>
  <c r="AE625" i="2" s="1"/>
  <c r="AD626" i="2"/>
  <c r="AE626" i="2" s="1"/>
  <c r="AD627" i="2"/>
  <c r="AE627" i="2" s="1"/>
  <c r="AD628" i="2"/>
  <c r="AE628" i="2" s="1"/>
  <c r="AD629" i="2"/>
  <c r="AE629" i="2" s="1"/>
  <c r="AD630" i="2"/>
  <c r="AE630" i="2" s="1"/>
  <c r="AD631" i="2"/>
  <c r="AE631" i="2" s="1"/>
  <c r="AD632" i="2"/>
  <c r="AE632" i="2" s="1"/>
  <c r="AD633" i="2"/>
  <c r="AE633" i="2" s="1"/>
  <c r="AD634" i="2"/>
  <c r="AE634" i="2" s="1"/>
  <c r="AD635" i="2"/>
  <c r="AE635" i="2" s="1"/>
  <c r="AD636" i="2"/>
  <c r="AE636" i="2" s="1"/>
  <c r="AD637" i="2"/>
  <c r="AE637" i="2" s="1"/>
  <c r="AD638" i="2"/>
  <c r="AE638" i="2" s="1"/>
  <c r="AD639" i="2"/>
  <c r="AE639" i="2" s="1"/>
  <c r="AD640" i="2"/>
  <c r="AE640" i="2" s="1"/>
  <c r="AD641" i="2"/>
  <c r="AE641" i="2" s="1"/>
  <c r="AD642" i="2"/>
  <c r="AE642" i="2" s="1"/>
  <c r="AD643" i="2"/>
  <c r="AE643" i="2" s="1"/>
  <c r="AD644" i="2"/>
  <c r="AE644" i="2" s="1"/>
  <c r="AD645" i="2"/>
  <c r="AE645" i="2" s="1"/>
  <c r="AD646" i="2"/>
  <c r="AE646" i="2" s="1"/>
  <c r="AD647" i="2"/>
  <c r="AE647" i="2" s="1"/>
  <c r="AD648" i="2"/>
  <c r="AE648" i="2" s="1"/>
  <c r="AD649" i="2"/>
  <c r="AE649" i="2" s="1"/>
  <c r="AD650" i="2"/>
  <c r="AE650" i="2" s="1"/>
  <c r="AD651" i="2"/>
  <c r="AE651" i="2" s="1"/>
  <c r="AD652" i="2"/>
  <c r="AE652" i="2" s="1"/>
  <c r="AD653" i="2"/>
  <c r="AE653" i="2" s="1"/>
  <c r="AD654" i="2"/>
  <c r="AE654" i="2" s="1"/>
  <c r="AD655" i="2"/>
  <c r="AE655" i="2" s="1"/>
  <c r="AD656" i="2"/>
  <c r="AE656" i="2" s="1"/>
  <c r="AD657" i="2"/>
  <c r="AE657" i="2" s="1"/>
  <c r="AD658" i="2"/>
  <c r="AE658" i="2" s="1"/>
  <c r="AD659" i="2"/>
  <c r="AE659" i="2" s="1"/>
  <c r="AD660" i="2"/>
  <c r="AE660" i="2" s="1"/>
  <c r="AD661" i="2"/>
  <c r="AE661" i="2" s="1"/>
  <c r="AD662" i="2"/>
  <c r="AE662" i="2" s="1"/>
  <c r="AD663" i="2"/>
  <c r="AE663" i="2" s="1"/>
  <c r="AD664" i="2"/>
  <c r="AE664" i="2" s="1"/>
  <c r="AD665" i="2"/>
  <c r="AE665" i="2" s="1"/>
  <c r="AD666" i="2"/>
  <c r="AE666" i="2" s="1"/>
  <c r="AD667" i="2"/>
  <c r="AE667" i="2" s="1"/>
  <c r="AD668" i="2"/>
  <c r="AE668" i="2" s="1"/>
  <c r="AD669" i="2"/>
  <c r="AE669" i="2" s="1"/>
  <c r="AD670" i="2"/>
  <c r="AE670" i="2" s="1"/>
  <c r="AD671" i="2"/>
  <c r="AE671" i="2" s="1"/>
  <c r="AD672" i="2"/>
  <c r="AE672" i="2" s="1"/>
  <c r="AD673" i="2"/>
  <c r="AE673" i="2" s="1"/>
  <c r="AD674" i="2"/>
  <c r="AE674" i="2" s="1"/>
  <c r="AD675" i="2"/>
  <c r="AE675" i="2" s="1"/>
  <c r="AD676" i="2"/>
  <c r="AE676" i="2" s="1"/>
  <c r="AD677" i="2"/>
  <c r="AE677" i="2" s="1"/>
  <c r="AD678" i="2"/>
  <c r="AE678" i="2" s="1"/>
  <c r="AD679" i="2"/>
  <c r="AE679" i="2" s="1"/>
  <c r="AD680" i="2"/>
  <c r="AE680" i="2" s="1"/>
  <c r="AE681" i="2"/>
  <c r="AD682" i="2"/>
  <c r="AE682" i="2" s="1"/>
  <c r="AD683" i="2"/>
  <c r="AE683" i="2" s="1"/>
  <c r="AD684" i="2"/>
  <c r="AE684" i="2" s="1"/>
  <c r="AD685" i="2"/>
  <c r="AE685" i="2" s="1"/>
  <c r="AD686" i="2"/>
  <c r="AE686" i="2" s="1"/>
  <c r="AD687" i="2"/>
  <c r="AE687" i="2" s="1"/>
  <c r="AD688" i="2"/>
  <c r="AE688" i="2" s="1"/>
  <c r="AD689" i="2"/>
  <c r="AE689" i="2" s="1"/>
  <c r="AD690" i="2"/>
  <c r="AE690" i="2" s="1"/>
  <c r="AD691" i="2"/>
  <c r="AE691" i="2" s="1"/>
  <c r="AD692" i="2"/>
  <c r="AE692" i="2" s="1"/>
  <c r="AD693" i="2"/>
  <c r="AE693" i="2" s="1"/>
  <c r="AD694" i="2"/>
  <c r="AE694" i="2" s="1"/>
  <c r="AD695" i="2"/>
  <c r="AE695" i="2" s="1"/>
  <c r="AD696" i="2"/>
  <c r="AE696" i="2" s="1"/>
  <c r="AD697" i="2"/>
  <c r="AE697" i="2" s="1"/>
  <c r="AD698" i="2"/>
  <c r="AE698" i="2" s="1"/>
  <c r="AD699" i="2"/>
  <c r="AE699" i="2" s="1"/>
  <c r="AD700" i="2"/>
  <c r="AE700" i="2" s="1"/>
  <c r="AD701" i="2"/>
  <c r="AE701" i="2" s="1"/>
  <c r="AD702" i="2"/>
  <c r="AE702" i="2" s="1"/>
  <c r="AD703" i="2"/>
  <c r="AE703" i="2" s="1"/>
  <c r="AD704" i="2"/>
  <c r="AE704" i="2" s="1"/>
  <c r="AD705" i="2"/>
  <c r="AE705" i="2" s="1"/>
  <c r="AD706" i="2"/>
  <c r="AE706" i="2" s="1"/>
  <c r="AD707" i="2"/>
  <c r="AE707" i="2" s="1"/>
  <c r="AD708" i="2"/>
  <c r="AE708" i="2" s="1"/>
  <c r="AD709" i="2"/>
  <c r="AE709" i="2" s="1"/>
  <c r="AD710" i="2"/>
  <c r="AE710" i="2" s="1"/>
  <c r="AD711" i="2"/>
  <c r="AE711" i="2" s="1"/>
  <c r="AD712" i="2"/>
  <c r="AE712" i="2" s="1"/>
  <c r="AD713" i="2"/>
  <c r="AE713" i="2" s="1"/>
  <c r="AD714" i="2"/>
  <c r="AE714" i="2" s="1"/>
  <c r="AD715" i="2"/>
  <c r="AE715" i="2" s="1"/>
  <c r="AD716" i="2"/>
  <c r="AE716" i="2" s="1"/>
  <c r="AD717" i="2"/>
  <c r="AE717" i="2" s="1"/>
  <c r="AD718" i="2"/>
  <c r="AE718" i="2" s="1"/>
  <c r="AD719" i="2"/>
  <c r="AE719" i="2" s="1"/>
  <c r="AD720" i="2"/>
  <c r="AE720" i="2" s="1"/>
  <c r="AD721" i="2"/>
  <c r="AE721" i="2" s="1"/>
  <c r="AD722" i="2"/>
  <c r="AE722" i="2" s="1"/>
  <c r="AD723" i="2"/>
  <c r="AE723" i="2" s="1"/>
  <c r="AD724" i="2"/>
  <c r="AE724" i="2" s="1"/>
  <c r="AD725" i="2"/>
  <c r="AE725" i="2" s="1"/>
  <c r="AD726" i="2"/>
  <c r="AE726" i="2" s="1"/>
  <c r="AD727" i="2"/>
  <c r="AE727" i="2" s="1"/>
  <c r="AD728" i="2"/>
  <c r="AE728" i="2" s="1"/>
  <c r="AD729" i="2"/>
  <c r="AE729" i="2" s="1"/>
  <c r="AD730" i="2"/>
  <c r="AE730" i="2" s="1"/>
  <c r="AD731" i="2"/>
  <c r="AE731" i="2" s="1"/>
  <c r="AD732" i="2"/>
  <c r="AE732" i="2" s="1"/>
  <c r="AD733" i="2"/>
  <c r="AE733" i="2" s="1"/>
  <c r="AD734" i="2"/>
  <c r="AE734" i="2" s="1"/>
  <c r="AD735" i="2"/>
  <c r="AE735" i="2" s="1"/>
  <c r="AD736" i="2"/>
  <c r="AE736" i="2" s="1"/>
  <c r="AD737" i="2"/>
  <c r="AE737" i="2" s="1"/>
  <c r="AD738" i="2"/>
  <c r="AE738" i="2" s="1"/>
  <c r="AD739" i="2"/>
  <c r="AE739" i="2" s="1"/>
  <c r="AD740" i="2"/>
  <c r="AE740" i="2" s="1"/>
  <c r="AD741" i="2"/>
  <c r="AE741" i="2" s="1"/>
  <c r="AD742" i="2"/>
  <c r="AE742" i="2" s="1"/>
  <c r="AD743" i="2"/>
  <c r="AE743" i="2" s="1"/>
  <c r="AD744" i="2"/>
  <c r="AE744" i="2" s="1"/>
  <c r="AD745" i="2"/>
  <c r="AE745" i="2" s="1"/>
  <c r="AD746" i="2"/>
  <c r="AE746" i="2" s="1"/>
  <c r="AD747" i="2"/>
  <c r="AE747" i="2" s="1"/>
  <c r="AD748" i="2"/>
  <c r="AE748" i="2" s="1"/>
  <c r="AD749" i="2"/>
  <c r="AE749" i="2" s="1"/>
  <c r="AD750" i="2"/>
  <c r="AE750" i="2" s="1"/>
  <c r="AD751" i="2"/>
  <c r="AE751" i="2" s="1"/>
  <c r="AD752" i="2"/>
  <c r="AE752" i="2" s="1"/>
  <c r="AD753" i="2"/>
  <c r="AE753" i="2" s="1"/>
  <c r="AD754" i="2"/>
  <c r="AE754" i="2" s="1"/>
  <c r="AD755" i="2"/>
  <c r="AE755" i="2" s="1"/>
  <c r="AD756" i="2"/>
  <c r="AE756" i="2" s="1"/>
  <c r="AD757" i="2"/>
  <c r="AE757" i="2" s="1"/>
  <c r="AD758" i="2"/>
  <c r="AE758" i="2" s="1"/>
  <c r="AD759" i="2"/>
  <c r="AE759" i="2" s="1"/>
  <c r="AD760" i="2"/>
  <c r="AE760" i="2" s="1"/>
  <c r="AD761" i="2"/>
  <c r="AE761" i="2" s="1"/>
  <c r="AD762" i="2"/>
  <c r="AE762" i="2" s="1"/>
  <c r="AD763" i="2"/>
  <c r="AE763" i="2" s="1"/>
  <c r="AD764" i="2"/>
  <c r="AE764" i="2" s="1"/>
  <c r="AD765" i="2"/>
  <c r="AE765" i="2" s="1"/>
  <c r="AD766" i="2"/>
  <c r="AE766" i="2" s="1"/>
  <c r="AD767" i="2"/>
  <c r="AE767" i="2" s="1"/>
  <c r="AD768" i="2"/>
  <c r="AE768" i="2" s="1"/>
  <c r="AD769" i="2"/>
  <c r="AE769" i="2" s="1"/>
  <c r="AD770" i="2"/>
  <c r="AE770" i="2" s="1"/>
  <c r="AD771" i="2"/>
  <c r="AE771" i="2" s="1"/>
  <c r="AD772" i="2"/>
  <c r="AE772" i="2" s="1"/>
  <c r="AD773" i="2"/>
  <c r="AE773" i="2" s="1"/>
  <c r="AD774" i="2"/>
  <c r="AE774" i="2" s="1"/>
  <c r="AD775" i="2"/>
  <c r="AE775" i="2" s="1"/>
  <c r="AD776" i="2"/>
  <c r="AE776" i="2" s="1"/>
  <c r="AD777" i="2"/>
  <c r="AE777" i="2" s="1"/>
  <c r="AD778" i="2"/>
  <c r="AE778" i="2" s="1"/>
  <c r="AD779" i="2"/>
  <c r="AE779" i="2" s="1"/>
  <c r="AD780" i="2"/>
  <c r="AE780" i="2" s="1"/>
  <c r="AD781" i="2"/>
  <c r="AE781" i="2" s="1"/>
  <c r="AD782" i="2"/>
  <c r="AE782" i="2" s="1"/>
  <c r="AD783" i="2"/>
  <c r="AE783" i="2" s="1"/>
  <c r="AD784" i="2"/>
  <c r="AE784" i="2" s="1"/>
  <c r="AD785" i="2"/>
  <c r="AE785" i="2" s="1"/>
  <c r="AD786" i="2"/>
  <c r="AE786" i="2" s="1"/>
  <c r="AD787" i="2"/>
  <c r="AE787" i="2" s="1"/>
  <c r="AD788" i="2"/>
  <c r="AE788" i="2" s="1"/>
  <c r="AD789" i="2"/>
  <c r="AE789" i="2" s="1"/>
  <c r="AD790" i="2"/>
  <c r="AE790" i="2" s="1"/>
  <c r="AD791" i="2"/>
  <c r="AE791" i="2" s="1"/>
  <c r="AD792" i="2"/>
  <c r="AE792" i="2" s="1"/>
  <c r="AD793" i="2"/>
  <c r="AE793" i="2" s="1"/>
  <c r="AD794" i="2"/>
  <c r="AE794" i="2" s="1"/>
  <c r="AD795" i="2"/>
  <c r="AE795" i="2" s="1"/>
  <c r="AD796" i="2"/>
  <c r="AE796" i="2" s="1"/>
  <c r="AD797" i="2"/>
  <c r="AE797" i="2" s="1"/>
  <c r="AD798" i="2"/>
  <c r="AE798" i="2" s="1"/>
  <c r="AD799" i="2"/>
  <c r="AE799" i="2" s="1"/>
  <c r="AD800" i="2"/>
  <c r="AE800" i="2" s="1"/>
  <c r="AD801" i="2"/>
  <c r="AE801" i="2" s="1"/>
  <c r="AD802" i="2"/>
  <c r="AE802" i="2" s="1"/>
  <c r="AD803" i="2"/>
  <c r="AE803" i="2" s="1"/>
  <c r="AD804" i="2"/>
  <c r="AE804" i="2" s="1"/>
  <c r="AD805" i="2"/>
  <c r="AE805" i="2" s="1"/>
  <c r="AD806" i="2"/>
  <c r="AE806" i="2" s="1"/>
  <c r="AD807" i="2"/>
  <c r="AE807" i="2" s="1"/>
  <c r="AD808" i="2"/>
  <c r="AE808" i="2" s="1"/>
  <c r="AD809" i="2"/>
  <c r="AE809" i="2" s="1"/>
  <c r="AD810" i="2"/>
  <c r="AE810" i="2" s="1"/>
  <c r="AD811" i="2"/>
  <c r="AE811" i="2" s="1"/>
  <c r="AD812" i="2"/>
  <c r="AE812" i="2" s="1"/>
  <c r="AD813" i="2"/>
  <c r="AE813" i="2" s="1"/>
  <c r="AD814" i="2"/>
  <c r="AE814" i="2" s="1"/>
  <c r="AD815" i="2"/>
  <c r="AE815" i="2" s="1"/>
  <c r="AD816" i="2"/>
  <c r="AE816" i="2" s="1"/>
  <c r="AD817" i="2"/>
  <c r="AE817" i="2" s="1"/>
  <c r="AD818" i="2"/>
  <c r="AE818" i="2" s="1"/>
  <c r="AD819" i="2"/>
  <c r="AE819" i="2" s="1"/>
  <c r="AD820" i="2"/>
  <c r="AE820" i="2" s="1"/>
  <c r="AD821" i="2"/>
  <c r="AE821" i="2" s="1"/>
  <c r="AD822" i="2"/>
  <c r="AE822" i="2" s="1"/>
  <c r="AD823" i="2"/>
  <c r="AE823" i="2" s="1"/>
  <c r="AD824" i="2"/>
  <c r="AE824" i="2" s="1"/>
  <c r="AD825" i="2"/>
  <c r="AE825" i="2" s="1"/>
  <c r="AD826" i="2"/>
  <c r="AE826" i="2" s="1"/>
  <c r="AD827" i="2"/>
  <c r="AE827" i="2" s="1"/>
  <c r="AD828" i="2"/>
  <c r="AE828" i="2" s="1"/>
  <c r="AD829" i="2"/>
  <c r="AE829" i="2" s="1"/>
  <c r="AD830" i="2"/>
  <c r="AE830" i="2" s="1"/>
  <c r="AD831" i="2"/>
  <c r="AE831" i="2" s="1"/>
  <c r="AD832" i="2"/>
  <c r="AE832" i="2" s="1"/>
  <c r="AD833" i="2"/>
  <c r="AE833" i="2" s="1"/>
  <c r="AD834" i="2"/>
  <c r="AE834" i="2" s="1"/>
  <c r="AD835" i="2"/>
  <c r="AE835" i="2" s="1"/>
  <c r="AD836" i="2"/>
  <c r="AE836" i="2" s="1"/>
  <c r="AD837" i="2"/>
  <c r="AE837" i="2" s="1"/>
  <c r="AD838" i="2"/>
  <c r="AE838" i="2" s="1"/>
  <c r="AD839" i="2"/>
  <c r="AE839" i="2" s="1"/>
  <c r="AD840" i="2"/>
  <c r="AE840" i="2" s="1"/>
  <c r="AD841" i="2"/>
  <c r="AE841" i="2" s="1"/>
  <c r="AD842" i="2"/>
  <c r="AE842" i="2" s="1"/>
  <c r="AD843" i="2"/>
  <c r="AE843" i="2" s="1"/>
  <c r="AD844" i="2"/>
  <c r="AE844" i="2" s="1"/>
  <c r="AD845" i="2"/>
  <c r="AE845" i="2" s="1"/>
  <c r="AD846" i="2"/>
  <c r="AE846" i="2" s="1"/>
  <c r="AD847" i="2"/>
  <c r="AE847" i="2" s="1"/>
  <c r="AD848" i="2"/>
  <c r="AE848" i="2" s="1"/>
  <c r="AD849" i="2"/>
  <c r="AE849" i="2" s="1"/>
  <c r="AD850" i="2"/>
  <c r="AE850" i="2" s="1"/>
  <c r="AD851" i="2"/>
  <c r="AE851" i="2" s="1"/>
  <c r="AD852" i="2"/>
  <c r="AE852" i="2" s="1"/>
  <c r="AD853" i="2"/>
  <c r="AE853" i="2" s="1"/>
  <c r="AD854" i="2"/>
  <c r="AE854" i="2" s="1"/>
  <c r="AD855" i="2"/>
  <c r="AE855" i="2" s="1"/>
  <c r="AD856" i="2"/>
  <c r="AE856" i="2" s="1"/>
  <c r="AD857" i="2"/>
  <c r="AE857" i="2" s="1"/>
  <c r="AD858" i="2"/>
  <c r="AE858" i="2" s="1"/>
  <c r="AD859" i="2"/>
  <c r="AE859" i="2" s="1"/>
  <c r="AD860" i="2"/>
  <c r="AE860" i="2" s="1"/>
  <c r="AD861" i="2"/>
  <c r="AE861" i="2" s="1"/>
  <c r="AD862" i="2"/>
  <c r="AE862" i="2" s="1"/>
  <c r="AD863" i="2"/>
  <c r="AE863" i="2" s="1"/>
  <c r="AD864" i="2"/>
  <c r="AE864" i="2" s="1"/>
  <c r="AD865" i="2"/>
  <c r="AE865" i="2" s="1"/>
  <c r="AD866" i="2"/>
  <c r="AE866" i="2" s="1"/>
  <c r="AD867" i="2"/>
  <c r="AE867" i="2" s="1"/>
  <c r="AD868" i="2"/>
  <c r="AE868" i="2" s="1"/>
  <c r="AD869" i="2"/>
  <c r="AE869" i="2" s="1"/>
  <c r="AD870" i="2"/>
  <c r="AE870" i="2" s="1"/>
  <c r="AD871" i="2"/>
  <c r="AE871" i="2" s="1"/>
  <c r="AD872" i="2"/>
  <c r="AE872" i="2" s="1"/>
  <c r="AD873" i="2"/>
  <c r="AE873" i="2" s="1"/>
  <c r="AD874" i="2"/>
  <c r="AE874" i="2" s="1"/>
  <c r="AD875" i="2"/>
  <c r="AE875" i="2" s="1"/>
  <c r="AD876" i="2"/>
  <c r="AE876" i="2" s="1"/>
  <c r="AD877" i="2"/>
  <c r="AE877" i="2" s="1"/>
  <c r="AD878" i="2"/>
  <c r="AE878" i="2" s="1"/>
  <c r="AD879" i="2"/>
  <c r="AE879" i="2" s="1"/>
  <c r="AD880" i="2"/>
  <c r="AE880" i="2" s="1"/>
  <c r="AD881" i="2"/>
  <c r="AE881" i="2" s="1"/>
  <c r="AD882" i="2"/>
  <c r="AE882" i="2" s="1"/>
  <c r="AD883" i="2"/>
  <c r="AE883" i="2" s="1"/>
  <c r="AD884" i="2"/>
  <c r="AE884" i="2" s="1"/>
  <c r="AD885" i="2"/>
  <c r="AE885" i="2" s="1"/>
  <c r="AD886" i="2"/>
  <c r="AE886" i="2" s="1"/>
  <c r="AD887" i="2"/>
  <c r="AE887" i="2" s="1"/>
  <c r="AD888" i="2"/>
  <c r="AE888" i="2" s="1"/>
  <c r="AD889" i="2"/>
  <c r="AE889" i="2" s="1"/>
  <c r="AD890" i="2"/>
  <c r="AE890" i="2" s="1"/>
  <c r="AD891" i="2"/>
  <c r="AE891" i="2" s="1"/>
  <c r="AD892" i="2"/>
  <c r="AE892" i="2" s="1"/>
  <c r="AD893" i="2"/>
  <c r="AE893" i="2" s="1"/>
  <c r="AD894" i="2"/>
  <c r="AE894" i="2" s="1"/>
  <c r="AD895" i="2"/>
  <c r="AE895" i="2" s="1"/>
  <c r="AD896" i="2"/>
  <c r="AE896" i="2" s="1"/>
  <c r="AD897" i="2"/>
  <c r="AE897" i="2" s="1"/>
  <c r="AD898" i="2"/>
  <c r="AE898" i="2" s="1"/>
  <c r="AD899" i="2"/>
  <c r="AE899" i="2" s="1"/>
  <c r="AD900" i="2"/>
  <c r="AE900" i="2" s="1"/>
  <c r="AD901" i="2"/>
  <c r="AE901" i="2" s="1"/>
  <c r="AD902" i="2"/>
  <c r="AE902" i="2" s="1"/>
  <c r="AD903" i="2"/>
  <c r="AE903" i="2" s="1"/>
  <c r="AD904" i="2"/>
  <c r="AE904" i="2" s="1"/>
  <c r="AD905" i="2"/>
  <c r="AE905" i="2" s="1"/>
  <c r="AD906" i="2"/>
  <c r="AE906" i="2" s="1"/>
  <c r="AD907" i="2"/>
  <c r="AE907" i="2" s="1"/>
  <c r="AD908" i="2"/>
  <c r="AE908" i="2" s="1"/>
  <c r="AD909" i="2"/>
  <c r="AE909" i="2" s="1"/>
  <c r="AD910" i="2"/>
  <c r="AE910" i="2" s="1"/>
  <c r="AD911" i="2"/>
  <c r="AE911" i="2" s="1"/>
  <c r="AD912" i="2"/>
  <c r="AE912" i="2" s="1"/>
  <c r="AD913" i="2"/>
  <c r="AE913" i="2" s="1"/>
  <c r="AD2" i="2"/>
  <c r="AE2" i="2" s="1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2" i="2"/>
  <c r="AB10" i="2"/>
  <c r="AB3" i="2"/>
  <c r="AB4" i="2"/>
  <c r="AB5" i="2"/>
  <c r="AB6" i="2"/>
  <c r="AB7" i="2"/>
  <c r="AB8" i="2"/>
  <c r="AB9" i="2"/>
  <c r="AB11" i="2"/>
  <c r="AB12" i="2"/>
  <c r="AB13" i="2"/>
  <c r="AB14" i="2"/>
  <c r="AB15" i="2"/>
  <c r="AB16" i="2"/>
  <c r="AB17" i="2"/>
  <c r="AB18" i="2"/>
  <c r="AB19" i="2"/>
  <c r="AB20" i="2"/>
  <c r="AB21" i="2"/>
  <c r="AC21" i="2" s="1"/>
  <c r="AB22" i="2"/>
  <c r="AB23" i="2"/>
  <c r="AC23" i="2" s="1"/>
  <c r="AB24" i="2"/>
  <c r="AB25" i="2"/>
  <c r="AB26" i="2"/>
  <c r="AC26" i="2" s="1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C74" i="2" s="1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C95" i="2" s="1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C126" i="2" s="1"/>
  <c r="AB127" i="2"/>
  <c r="AB128" i="2"/>
  <c r="AB129" i="2"/>
  <c r="AC129" i="2" s="1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C144" i="2" s="1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C156" i="2" s="1"/>
  <c r="AB157" i="2"/>
  <c r="AB158" i="2"/>
  <c r="AB159" i="2"/>
  <c r="AB160" i="2"/>
  <c r="AB161" i="2"/>
  <c r="AB162" i="2"/>
  <c r="AC162" i="2" s="1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C203" i="2" s="1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C258" i="2" s="1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C278" i="2" s="1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C356" i="2" s="1"/>
  <c r="AB357" i="2"/>
  <c r="AC357" i="2" s="1"/>
  <c r="AB358" i="2"/>
  <c r="AB359" i="2"/>
  <c r="AB360" i="2"/>
  <c r="AC360" i="2" s="1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400" i="2"/>
  <c r="AB401" i="2"/>
  <c r="AB402" i="2"/>
  <c r="AC402" i="2" s="1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17" i="2"/>
  <c r="AB418" i="2"/>
  <c r="AB419" i="2"/>
  <c r="AB420" i="2"/>
  <c r="AB421" i="2"/>
  <c r="AB422" i="2"/>
  <c r="AB423" i="2"/>
  <c r="AB424" i="2"/>
  <c r="AB425" i="2"/>
  <c r="AB426" i="2"/>
  <c r="AB427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C440" i="2" s="1"/>
  <c r="AB441" i="2"/>
  <c r="AB442" i="2"/>
  <c r="AB443" i="2"/>
  <c r="AB444" i="2"/>
  <c r="AB445" i="2"/>
  <c r="AB446" i="2"/>
  <c r="AB447" i="2"/>
  <c r="AC447" i="2" s="1"/>
  <c r="AB448" i="2"/>
  <c r="AB449" i="2"/>
  <c r="AB450" i="2"/>
  <c r="AB451" i="2"/>
  <c r="AB452" i="2"/>
  <c r="AB453" i="2"/>
  <c r="AB454" i="2"/>
  <c r="AB455" i="2"/>
  <c r="AB456" i="2"/>
  <c r="AB457" i="2"/>
  <c r="AB458" i="2"/>
  <c r="AB459" i="2"/>
  <c r="AB460" i="2"/>
  <c r="AB461" i="2"/>
  <c r="AB462" i="2"/>
  <c r="AB463" i="2"/>
  <c r="AB464" i="2"/>
  <c r="AB465" i="2"/>
  <c r="AB466" i="2"/>
  <c r="AB467" i="2"/>
  <c r="AB468" i="2"/>
  <c r="AB469" i="2"/>
  <c r="AB470" i="2"/>
  <c r="AC470" i="2" s="1"/>
  <c r="AB471" i="2"/>
  <c r="AB472" i="2"/>
  <c r="AB473" i="2"/>
  <c r="AB474" i="2"/>
  <c r="AB475" i="2"/>
  <c r="AB476" i="2"/>
  <c r="AB477" i="2"/>
  <c r="AB478" i="2"/>
  <c r="AB479" i="2"/>
  <c r="AB480" i="2"/>
  <c r="AB481" i="2"/>
  <c r="AC481" i="2" s="1"/>
  <c r="AB482" i="2"/>
  <c r="AB483" i="2"/>
  <c r="AB484" i="2"/>
  <c r="AB485" i="2"/>
  <c r="AB486" i="2"/>
  <c r="AB487" i="2"/>
  <c r="AB488" i="2"/>
  <c r="AB489" i="2"/>
  <c r="AB490" i="2"/>
  <c r="AB491" i="2"/>
  <c r="AB492" i="2"/>
  <c r="AB493" i="2"/>
  <c r="AB494" i="2"/>
  <c r="AB495" i="2"/>
  <c r="AB496" i="2"/>
  <c r="AC496" i="2" s="1"/>
  <c r="AB497" i="2"/>
  <c r="AB498" i="2"/>
  <c r="AB499" i="2"/>
  <c r="AB500" i="2"/>
  <c r="AB501" i="2"/>
  <c r="AB502" i="2"/>
  <c r="AB503" i="2"/>
  <c r="AB504" i="2"/>
  <c r="AB505" i="2"/>
  <c r="AB506" i="2"/>
  <c r="AB507" i="2"/>
  <c r="AB508" i="2"/>
  <c r="AB509" i="2"/>
  <c r="AB510" i="2"/>
  <c r="AB511" i="2"/>
  <c r="AB512" i="2"/>
  <c r="AB513" i="2"/>
  <c r="AB514" i="2"/>
  <c r="AB515" i="2"/>
  <c r="AB516" i="2"/>
  <c r="AB517" i="2"/>
  <c r="AC517" i="2" s="1"/>
  <c r="AB518" i="2"/>
  <c r="AB519" i="2"/>
  <c r="AB520" i="2"/>
  <c r="AC520" i="2" s="1"/>
  <c r="AB521" i="2"/>
  <c r="AB522" i="2"/>
  <c r="AB523" i="2"/>
  <c r="AB524" i="2"/>
  <c r="AB525" i="2"/>
  <c r="AB526" i="2"/>
  <c r="AB527" i="2"/>
  <c r="AB528" i="2"/>
  <c r="AB529" i="2"/>
  <c r="AB530" i="2"/>
  <c r="AB531" i="2"/>
  <c r="AB532" i="2"/>
  <c r="AB533" i="2"/>
  <c r="AB534" i="2"/>
  <c r="AB535" i="2"/>
  <c r="AB536" i="2"/>
  <c r="AB537" i="2"/>
  <c r="AB538" i="2"/>
  <c r="AB539" i="2"/>
  <c r="AB540" i="2"/>
  <c r="AB541" i="2"/>
  <c r="AB542" i="2"/>
  <c r="AC542" i="2" s="1"/>
  <c r="AB543" i="2"/>
  <c r="AB544" i="2"/>
  <c r="AB545" i="2"/>
  <c r="AB546" i="2"/>
  <c r="AB547" i="2"/>
  <c r="AB548" i="2"/>
  <c r="AB549" i="2"/>
  <c r="AB550" i="2"/>
  <c r="AB551" i="2"/>
  <c r="AB552" i="2"/>
  <c r="AB553" i="2"/>
  <c r="AB554" i="2"/>
  <c r="AB555" i="2"/>
  <c r="AB556" i="2"/>
  <c r="AB557" i="2"/>
  <c r="AB558" i="2"/>
  <c r="AB559" i="2"/>
  <c r="AB560" i="2"/>
  <c r="AB561" i="2"/>
  <c r="AB562" i="2"/>
  <c r="AB563" i="2"/>
  <c r="AB564" i="2"/>
  <c r="AB565" i="2"/>
  <c r="AB566" i="2"/>
  <c r="AB567" i="2"/>
  <c r="AB568" i="2"/>
  <c r="AB569" i="2"/>
  <c r="AB570" i="2"/>
  <c r="AB571" i="2"/>
  <c r="AB572" i="2"/>
  <c r="AB573" i="2"/>
  <c r="AB574" i="2"/>
  <c r="AB575" i="2"/>
  <c r="AB576" i="2"/>
  <c r="AB577" i="2"/>
  <c r="AB578" i="2"/>
  <c r="AB579" i="2"/>
  <c r="AB580" i="2"/>
  <c r="AB581" i="2"/>
  <c r="AB582" i="2"/>
  <c r="AB583" i="2"/>
  <c r="AB584" i="2"/>
  <c r="AB585" i="2"/>
  <c r="AB586" i="2"/>
  <c r="AB587" i="2"/>
  <c r="AB588" i="2"/>
  <c r="AB589" i="2"/>
  <c r="AB590" i="2"/>
  <c r="AB591" i="2"/>
  <c r="AB592" i="2"/>
  <c r="AB593" i="2"/>
  <c r="AB594" i="2"/>
  <c r="AB595" i="2"/>
  <c r="AB596" i="2"/>
  <c r="AB597" i="2"/>
  <c r="AB598" i="2"/>
  <c r="AB599" i="2"/>
  <c r="AB600" i="2"/>
  <c r="AB601" i="2"/>
  <c r="AB602" i="2"/>
  <c r="AB603" i="2"/>
  <c r="AB604" i="2"/>
  <c r="AB605" i="2"/>
  <c r="AB606" i="2"/>
  <c r="AB607" i="2"/>
  <c r="AB608" i="2"/>
  <c r="AB609" i="2"/>
  <c r="AB610" i="2"/>
  <c r="AB611" i="2"/>
  <c r="AB612" i="2"/>
  <c r="AB613" i="2"/>
  <c r="AB614" i="2"/>
  <c r="AB615" i="2"/>
  <c r="AB616" i="2"/>
  <c r="AB617" i="2"/>
  <c r="AB618" i="2"/>
  <c r="AB619" i="2"/>
  <c r="AB620" i="2"/>
  <c r="AB621" i="2"/>
  <c r="AB622" i="2"/>
  <c r="AB623" i="2"/>
  <c r="AB624" i="2"/>
  <c r="AB625" i="2"/>
  <c r="AB626" i="2"/>
  <c r="AB627" i="2"/>
  <c r="AB628" i="2"/>
  <c r="AB629" i="2"/>
  <c r="AB630" i="2"/>
  <c r="AB631" i="2"/>
  <c r="AB632" i="2"/>
  <c r="AB633" i="2"/>
  <c r="AB634" i="2"/>
  <c r="AB635" i="2"/>
  <c r="AB636" i="2"/>
  <c r="AB637" i="2"/>
  <c r="AB638" i="2"/>
  <c r="AB639" i="2"/>
  <c r="AB640" i="2"/>
  <c r="AB641" i="2"/>
  <c r="AB642" i="2"/>
  <c r="AB643" i="2"/>
  <c r="AB644" i="2"/>
  <c r="AB645" i="2"/>
  <c r="AB646" i="2"/>
  <c r="AB647" i="2"/>
  <c r="AB648" i="2"/>
  <c r="AB649" i="2"/>
  <c r="AB650" i="2"/>
  <c r="AB651" i="2"/>
  <c r="AB652" i="2"/>
  <c r="AB653" i="2"/>
  <c r="AB654" i="2"/>
  <c r="AB655" i="2"/>
  <c r="AB656" i="2"/>
  <c r="AB657" i="2"/>
  <c r="AB658" i="2"/>
  <c r="AC658" i="2" s="1"/>
  <c r="AB659" i="2"/>
  <c r="AB660" i="2"/>
  <c r="AB661" i="2"/>
  <c r="AB662" i="2"/>
  <c r="AB663" i="2"/>
  <c r="AB664" i="2"/>
  <c r="AB665" i="2"/>
  <c r="AC665" i="2" s="1"/>
  <c r="AB666" i="2"/>
  <c r="AB667" i="2"/>
  <c r="AB668" i="2"/>
  <c r="AB669" i="2"/>
  <c r="AB670" i="2"/>
  <c r="AB671" i="2"/>
  <c r="AB672" i="2"/>
  <c r="AB673" i="2"/>
  <c r="AB674" i="2"/>
  <c r="AB675" i="2"/>
  <c r="AB676" i="2"/>
  <c r="AB677" i="2"/>
  <c r="AB678" i="2"/>
  <c r="AB679" i="2"/>
  <c r="AB680" i="2"/>
  <c r="AB682" i="2"/>
  <c r="AB683" i="2"/>
  <c r="AB684" i="2"/>
  <c r="AB685" i="2"/>
  <c r="AB686" i="2"/>
  <c r="AB687" i="2"/>
  <c r="AB688" i="2"/>
  <c r="AB689" i="2"/>
  <c r="AB690" i="2"/>
  <c r="AB691" i="2"/>
  <c r="AB692" i="2"/>
  <c r="AB693" i="2"/>
  <c r="AB694" i="2"/>
  <c r="AB695" i="2"/>
  <c r="AB696" i="2"/>
  <c r="AB697" i="2"/>
  <c r="AB698" i="2"/>
  <c r="AB699" i="2"/>
  <c r="AB700" i="2"/>
  <c r="AB701" i="2"/>
  <c r="AB702" i="2"/>
  <c r="AB703" i="2"/>
  <c r="AB704" i="2"/>
  <c r="AB705" i="2"/>
  <c r="AB706" i="2"/>
  <c r="AB707" i="2"/>
  <c r="AB708" i="2"/>
  <c r="AB709" i="2"/>
  <c r="AB710" i="2"/>
  <c r="AB711" i="2"/>
  <c r="AB712" i="2"/>
  <c r="AB713" i="2"/>
  <c r="AB714" i="2"/>
  <c r="AB715" i="2"/>
  <c r="AB716" i="2"/>
  <c r="AB717" i="2"/>
  <c r="AB718" i="2"/>
  <c r="AB719" i="2"/>
  <c r="AB720" i="2"/>
  <c r="AB721" i="2"/>
  <c r="AB722" i="2"/>
  <c r="AB723" i="2"/>
  <c r="AB724" i="2"/>
  <c r="AB725" i="2"/>
  <c r="AB726" i="2"/>
  <c r="AB727" i="2"/>
  <c r="AB728" i="2"/>
  <c r="AB729" i="2"/>
  <c r="AB730" i="2"/>
  <c r="AB731" i="2"/>
  <c r="AB732" i="2"/>
  <c r="AB733" i="2"/>
  <c r="AB734" i="2"/>
  <c r="AB735" i="2"/>
  <c r="AB736" i="2"/>
  <c r="AB737" i="2"/>
  <c r="AB738" i="2"/>
  <c r="AB739" i="2"/>
  <c r="AB740" i="2"/>
  <c r="AB741" i="2"/>
  <c r="AB742" i="2"/>
  <c r="AB743" i="2"/>
  <c r="AB744" i="2"/>
  <c r="AB745" i="2"/>
  <c r="AB746" i="2"/>
  <c r="AB747" i="2"/>
  <c r="AB748" i="2"/>
  <c r="AB749" i="2"/>
  <c r="AB750" i="2"/>
  <c r="AB751" i="2"/>
  <c r="AB752" i="2"/>
  <c r="AB753" i="2"/>
  <c r="AB754" i="2"/>
  <c r="AB755" i="2"/>
  <c r="AC755" i="2" s="1"/>
  <c r="AB756" i="2"/>
  <c r="AB757" i="2"/>
  <c r="AB758" i="2"/>
  <c r="AB759" i="2"/>
  <c r="AB760" i="2"/>
  <c r="AB761" i="2"/>
  <c r="AB762" i="2"/>
  <c r="AB763" i="2"/>
  <c r="AB764" i="2"/>
  <c r="AB765" i="2"/>
  <c r="AB766" i="2"/>
  <c r="AB767" i="2"/>
  <c r="AB768" i="2"/>
  <c r="AB769" i="2"/>
  <c r="AB770" i="2"/>
  <c r="AB771" i="2"/>
  <c r="AB772" i="2"/>
  <c r="AB773" i="2"/>
  <c r="AB774" i="2"/>
  <c r="AB775" i="2"/>
  <c r="AB776" i="2"/>
  <c r="AB777" i="2"/>
  <c r="AB778" i="2"/>
  <c r="AB779" i="2"/>
  <c r="AB780" i="2"/>
  <c r="AB781" i="2"/>
  <c r="AB782" i="2"/>
  <c r="AB783" i="2"/>
  <c r="AB784" i="2"/>
  <c r="AB785" i="2"/>
  <c r="AB786" i="2"/>
  <c r="AB787" i="2"/>
  <c r="AB788" i="2"/>
  <c r="AB789" i="2"/>
  <c r="AB790" i="2"/>
  <c r="AB791" i="2"/>
  <c r="AB792" i="2"/>
  <c r="AB793" i="2"/>
  <c r="AB794" i="2"/>
  <c r="AB795" i="2"/>
  <c r="AB796" i="2"/>
  <c r="AB797" i="2"/>
  <c r="AB798" i="2"/>
  <c r="AB799" i="2"/>
  <c r="AB800" i="2"/>
  <c r="AC800" i="2" s="1"/>
  <c r="AB801" i="2"/>
  <c r="AB802" i="2"/>
  <c r="AB803" i="2"/>
  <c r="AB804" i="2"/>
  <c r="AB805" i="2"/>
  <c r="AB806" i="2"/>
  <c r="AB807" i="2"/>
  <c r="AB808" i="2"/>
  <c r="AB809" i="2"/>
  <c r="AB810" i="2"/>
  <c r="AC810" i="2" s="1"/>
  <c r="AB811" i="2"/>
  <c r="AB812" i="2"/>
  <c r="AB813" i="2"/>
  <c r="AB814" i="2"/>
  <c r="AB815" i="2"/>
  <c r="AB816" i="2"/>
  <c r="AB817" i="2"/>
  <c r="AB818" i="2"/>
  <c r="AB819" i="2"/>
  <c r="AB820" i="2"/>
  <c r="AC820" i="2" s="1"/>
  <c r="AB821" i="2"/>
  <c r="AB822" i="2"/>
  <c r="AB823" i="2"/>
  <c r="AB824" i="2"/>
  <c r="AC824" i="2" s="1"/>
  <c r="AB825" i="2"/>
  <c r="AB826" i="2"/>
  <c r="AB827" i="2"/>
  <c r="AB828" i="2"/>
  <c r="AB829" i="2"/>
  <c r="AB830" i="2"/>
  <c r="AB831" i="2"/>
  <c r="AB832" i="2"/>
  <c r="AB833" i="2"/>
  <c r="AB834" i="2"/>
  <c r="AB835" i="2"/>
  <c r="AB836" i="2"/>
  <c r="AB837" i="2"/>
  <c r="AB838" i="2"/>
  <c r="AB839" i="2"/>
  <c r="AB840" i="2"/>
  <c r="AB841" i="2"/>
  <c r="AB842" i="2"/>
  <c r="AB843" i="2"/>
  <c r="AB844" i="2"/>
  <c r="AC844" i="2" s="1"/>
  <c r="AB845" i="2"/>
  <c r="AC845" i="2" s="1"/>
  <c r="AB846" i="2"/>
  <c r="AB847" i="2"/>
  <c r="AB848" i="2"/>
  <c r="AB849" i="2"/>
  <c r="AB850" i="2"/>
  <c r="AB851" i="2"/>
  <c r="AB852" i="2"/>
  <c r="AB853" i="2"/>
  <c r="AB854" i="2"/>
  <c r="AB855" i="2"/>
  <c r="AB856" i="2"/>
  <c r="AB857" i="2"/>
  <c r="AB858" i="2"/>
  <c r="AC858" i="2" s="1"/>
  <c r="AB859" i="2"/>
  <c r="AB860" i="2"/>
  <c r="AB861" i="2"/>
  <c r="AB862" i="2"/>
  <c r="AB863" i="2"/>
  <c r="AB864" i="2"/>
  <c r="AB865" i="2"/>
  <c r="AB866" i="2"/>
  <c r="AB867" i="2"/>
  <c r="AB868" i="2"/>
  <c r="AB869" i="2"/>
  <c r="AB870" i="2"/>
  <c r="AB871" i="2"/>
  <c r="AB872" i="2"/>
  <c r="AB873" i="2"/>
  <c r="AB874" i="2"/>
  <c r="AB875" i="2"/>
  <c r="AB876" i="2"/>
  <c r="AB877" i="2"/>
  <c r="AB878" i="2"/>
  <c r="AB879" i="2"/>
  <c r="AB880" i="2"/>
  <c r="AB881" i="2"/>
  <c r="AB882" i="2"/>
  <c r="AB883" i="2"/>
  <c r="AB884" i="2"/>
  <c r="AB885" i="2"/>
  <c r="AB886" i="2"/>
  <c r="AB887" i="2"/>
  <c r="AB888" i="2"/>
  <c r="AB889" i="2"/>
  <c r="AB890" i="2"/>
  <c r="AB891" i="2"/>
  <c r="AB892" i="2"/>
  <c r="AB893" i="2"/>
  <c r="AB894" i="2"/>
  <c r="AB895" i="2"/>
  <c r="AB896" i="2"/>
  <c r="AB897" i="2"/>
  <c r="AB898" i="2"/>
  <c r="AB899" i="2"/>
  <c r="AB900" i="2"/>
  <c r="AB901" i="2"/>
  <c r="AB902" i="2"/>
  <c r="AB903" i="2"/>
  <c r="AB904" i="2"/>
  <c r="AB905" i="2"/>
  <c r="AB906" i="2"/>
  <c r="AC906" i="2" s="1"/>
  <c r="AB907" i="2"/>
  <c r="AB908" i="2"/>
  <c r="AB909" i="2"/>
  <c r="AB910" i="2"/>
  <c r="AC910" i="2" s="1"/>
  <c r="AB911" i="2"/>
  <c r="AB912" i="2"/>
  <c r="AB913" i="2"/>
  <c r="AB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2" i="2"/>
  <c r="AC2" i="2" l="1"/>
  <c r="AC913" i="2"/>
  <c r="AC912" i="2"/>
  <c r="AC911" i="2"/>
  <c r="AC909" i="2"/>
  <c r="AC908" i="2"/>
  <c r="AC907" i="2"/>
  <c r="AC905" i="2"/>
  <c r="AC904" i="2"/>
  <c r="AC903" i="2"/>
  <c r="AC902" i="2"/>
  <c r="AC901" i="2"/>
  <c r="AC900" i="2"/>
  <c r="AC899" i="2"/>
  <c r="AC898" i="2"/>
  <c r="AC897" i="2"/>
  <c r="AC896" i="2"/>
  <c r="AC895" i="2"/>
  <c r="AC894" i="2"/>
  <c r="AC893" i="2"/>
  <c r="AC892" i="2"/>
  <c r="AC891" i="2"/>
  <c r="AC890" i="2"/>
  <c r="AC889" i="2"/>
  <c r="AC888" i="2"/>
  <c r="AC887" i="2"/>
  <c r="AC886" i="2"/>
  <c r="AC885" i="2"/>
  <c r="AC884" i="2"/>
  <c r="AC883" i="2"/>
  <c r="AC882" i="2"/>
  <c r="AC881" i="2"/>
  <c r="AC880" i="2"/>
  <c r="AC879" i="2"/>
  <c r="AC878" i="2"/>
  <c r="AC877" i="2"/>
  <c r="AC876" i="2"/>
  <c r="AC875" i="2"/>
  <c r="AC874" i="2"/>
  <c r="AC873" i="2"/>
  <c r="AC872" i="2"/>
  <c r="AC871" i="2"/>
  <c r="AC870" i="2"/>
  <c r="AC869" i="2"/>
  <c r="AC868" i="2"/>
  <c r="AC867" i="2"/>
  <c r="AC866" i="2"/>
  <c r="AC865" i="2"/>
  <c r="AC864" i="2"/>
  <c r="AC863" i="2"/>
  <c r="AC862" i="2"/>
  <c r="AC861" i="2"/>
  <c r="AC860" i="2"/>
  <c r="AC859" i="2"/>
  <c r="AC857" i="2"/>
  <c r="AC856" i="2"/>
  <c r="AC855" i="2"/>
  <c r="AC854" i="2"/>
  <c r="AC853" i="2"/>
  <c r="AC852" i="2"/>
  <c r="AC851" i="2"/>
  <c r="AC850" i="2"/>
  <c r="AC849" i="2"/>
  <c r="AC848" i="2"/>
  <c r="AC847" i="2"/>
  <c r="AC846" i="2"/>
  <c r="AC843" i="2"/>
  <c r="AC842" i="2"/>
  <c r="AC841" i="2"/>
  <c r="AC840" i="2"/>
  <c r="AC839" i="2"/>
  <c r="AC838" i="2"/>
  <c r="AC837" i="2"/>
  <c r="AC836" i="2"/>
  <c r="AC835" i="2"/>
  <c r="AC834" i="2"/>
  <c r="AC833" i="2"/>
  <c r="AC832" i="2"/>
  <c r="AC831" i="2"/>
  <c r="AC830" i="2"/>
  <c r="AC829" i="2"/>
  <c r="AC828" i="2"/>
  <c r="AC827" i="2"/>
  <c r="AC826" i="2"/>
  <c r="AC825" i="2"/>
  <c r="AC823" i="2"/>
  <c r="AC822" i="2"/>
  <c r="AC821" i="2"/>
  <c r="AC819" i="2"/>
  <c r="AC818" i="2"/>
  <c r="AC817" i="2"/>
  <c r="AC816" i="2"/>
  <c r="AC815" i="2"/>
  <c r="AC814" i="2"/>
  <c r="AC813" i="2"/>
  <c r="AC812" i="2"/>
  <c r="AC811" i="2"/>
  <c r="AC809" i="2"/>
  <c r="AC808" i="2"/>
  <c r="AC807" i="2"/>
  <c r="AC806" i="2"/>
  <c r="AC805" i="2"/>
  <c r="AC804" i="2"/>
  <c r="AC803" i="2"/>
  <c r="AC802" i="2"/>
  <c r="AC801" i="2"/>
  <c r="AC799" i="2"/>
  <c r="AC798" i="2"/>
  <c r="AC797" i="2"/>
  <c r="AC796" i="2"/>
  <c r="AC795" i="2"/>
  <c r="AC794" i="2"/>
  <c r="AC793" i="2"/>
  <c r="AC792" i="2"/>
  <c r="AC791" i="2"/>
  <c r="AC790" i="2"/>
  <c r="AC789" i="2"/>
  <c r="AC788" i="2"/>
  <c r="AC787" i="2"/>
  <c r="AC786" i="2"/>
  <c r="AC785" i="2"/>
  <c r="AC784" i="2"/>
  <c r="AC783" i="2"/>
  <c r="AC782" i="2"/>
  <c r="AC781" i="2"/>
  <c r="AC780" i="2"/>
  <c r="AC779" i="2"/>
  <c r="AC778" i="2"/>
  <c r="AC777" i="2"/>
  <c r="AC776" i="2"/>
  <c r="AC775" i="2"/>
  <c r="AC774" i="2"/>
  <c r="AC773" i="2"/>
  <c r="AC772" i="2"/>
  <c r="AC771" i="2"/>
  <c r="AC770" i="2"/>
  <c r="AC769" i="2"/>
  <c r="AC768" i="2"/>
  <c r="AC767" i="2"/>
  <c r="AC766" i="2"/>
  <c r="AC765" i="2"/>
  <c r="AC764" i="2"/>
  <c r="AC763" i="2"/>
  <c r="AC762" i="2"/>
  <c r="AC761" i="2"/>
  <c r="AC760" i="2"/>
  <c r="AC759" i="2"/>
  <c r="AC758" i="2"/>
  <c r="AC757" i="2"/>
  <c r="AC756" i="2"/>
  <c r="AC754" i="2"/>
  <c r="AC753" i="2"/>
  <c r="AC752" i="2"/>
  <c r="AC751" i="2"/>
  <c r="AC750" i="2"/>
  <c r="AC749" i="2"/>
  <c r="AC748" i="2"/>
  <c r="AC747" i="2"/>
  <c r="AC746" i="2"/>
  <c r="AC745" i="2"/>
  <c r="AC744" i="2"/>
  <c r="AC743" i="2"/>
  <c r="AC742" i="2"/>
  <c r="AC741" i="2"/>
  <c r="AC740" i="2"/>
  <c r="AC739" i="2"/>
  <c r="AC738" i="2"/>
  <c r="AC737" i="2"/>
  <c r="AC736" i="2"/>
  <c r="AC735" i="2"/>
  <c r="AC734" i="2"/>
  <c r="AC733" i="2"/>
  <c r="AC732" i="2"/>
  <c r="AC731" i="2"/>
  <c r="AC730" i="2"/>
  <c r="AC729" i="2"/>
  <c r="AC728" i="2"/>
  <c r="AC727" i="2"/>
  <c r="AC726" i="2"/>
  <c r="AC725" i="2"/>
  <c r="AC724" i="2"/>
  <c r="AC723" i="2"/>
  <c r="AC722" i="2"/>
  <c r="AC721" i="2"/>
  <c r="AC720" i="2"/>
  <c r="AC719" i="2"/>
  <c r="AC718" i="2"/>
  <c r="AC717" i="2"/>
  <c r="AC716" i="2"/>
  <c r="AC715" i="2"/>
  <c r="AC714" i="2"/>
  <c r="AC713" i="2"/>
  <c r="AC712" i="2"/>
  <c r="AC711" i="2"/>
  <c r="AC710" i="2"/>
  <c r="AC709" i="2"/>
  <c r="AC708" i="2"/>
  <c r="AC707" i="2"/>
  <c r="AC706" i="2"/>
  <c r="AC705" i="2"/>
  <c r="AC704" i="2"/>
  <c r="AC703" i="2"/>
  <c r="AC702" i="2"/>
  <c r="AC701" i="2"/>
  <c r="AC700" i="2"/>
  <c r="AC699" i="2"/>
  <c r="AC698" i="2"/>
  <c r="AC697" i="2"/>
  <c r="AC696" i="2"/>
  <c r="AC695" i="2"/>
  <c r="AC694" i="2"/>
  <c r="AC693" i="2"/>
  <c r="AC692" i="2"/>
  <c r="AC691" i="2"/>
  <c r="AC690" i="2"/>
  <c r="AC689" i="2"/>
  <c r="AC688" i="2"/>
  <c r="AC687" i="2"/>
  <c r="AC686" i="2"/>
  <c r="AC685" i="2"/>
  <c r="AC684" i="2"/>
  <c r="AC683" i="2"/>
  <c r="AC682" i="2"/>
  <c r="AC680" i="2"/>
  <c r="AC679" i="2"/>
  <c r="AC678" i="2"/>
  <c r="AC677" i="2"/>
  <c r="AC676" i="2"/>
  <c r="AC675" i="2"/>
  <c r="AC674" i="2"/>
  <c r="AC673" i="2"/>
  <c r="AC672" i="2"/>
  <c r="AC671" i="2"/>
  <c r="AC670" i="2"/>
  <c r="AC669" i="2"/>
  <c r="AC668" i="2"/>
  <c r="AC667" i="2"/>
  <c r="AC666" i="2"/>
  <c r="AC664" i="2"/>
  <c r="AC663" i="2"/>
  <c r="AC662" i="2"/>
  <c r="AC661" i="2"/>
  <c r="AC660" i="2"/>
  <c r="AC659" i="2"/>
  <c r="AC657" i="2"/>
  <c r="AC656" i="2"/>
  <c r="AC655" i="2"/>
  <c r="AC654" i="2"/>
  <c r="AC653" i="2"/>
  <c r="AC652" i="2"/>
  <c r="AC651" i="2"/>
  <c r="AC650" i="2"/>
  <c r="AC649" i="2"/>
  <c r="AC648" i="2"/>
  <c r="AC647" i="2"/>
  <c r="AC646" i="2"/>
  <c r="AC645" i="2"/>
  <c r="AC644" i="2"/>
  <c r="AC643" i="2"/>
  <c r="AC642" i="2"/>
  <c r="AC641" i="2"/>
  <c r="AC640" i="2"/>
  <c r="AC639" i="2"/>
  <c r="AC638" i="2"/>
  <c r="AC637" i="2"/>
  <c r="AC636" i="2"/>
  <c r="AC635" i="2"/>
  <c r="AC634" i="2"/>
  <c r="AC633" i="2"/>
  <c r="AC632" i="2"/>
  <c r="AC631" i="2"/>
  <c r="AC630" i="2"/>
  <c r="AC629" i="2"/>
  <c r="AC628" i="2"/>
  <c r="AC627" i="2"/>
  <c r="AC626" i="2"/>
  <c r="AC625" i="2"/>
  <c r="AC624" i="2"/>
  <c r="AC623" i="2"/>
  <c r="AC622" i="2"/>
  <c r="AC621" i="2"/>
  <c r="AC620" i="2"/>
  <c r="AC619" i="2"/>
  <c r="AC618" i="2"/>
  <c r="AC617" i="2"/>
  <c r="AC616" i="2"/>
  <c r="AC615" i="2"/>
  <c r="AC614" i="2"/>
  <c r="AC613" i="2"/>
  <c r="AC612" i="2"/>
  <c r="AC611" i="2"/>
  <c r="AC610" i="2"/>
  <c r="AC609" i="2"/>
  <c r="AC608" i="2"/>
  <c r="AC607" i="2"/>
  <c r="AC606" i="2"/>
  <c r="AC605" i="2"/>
  <c r="AC604" i="2"/>
  <c r="AC603" i="2"/>
  <c r="AC602" i="2"/>
  <c r="AC601" i="2"/>
  <c r="AC600" i="2"/>
  <c r="AC599" i="2"/>
  <c r="AC598" i="2"/>
  <c r="AC597" i="2"/>
  <c r="AC596" i="2"/>
  <c r="AC595" i="2"/>
  <c r="AC594" i="2"/>
  <c r="AC593" i="2"/>
  <c r="AC592" i="2"/>
  <c r="AC591" i="2"/>
  <c r="AC590" i="2"/>
  <c r="AC589" i="2"/>
  <c r="AC588" i="2"/>
  <c r="AC587" i="2"/>
  <c r="AC586" i="2"/>
  <c r="AC585" i="2"/>
  <c r="AC584" i="2"/>
  <c r="AC583" i="2"/>
  <c r="AC582" i="2"/>
  <c r="AC581" i="2"/>
  <c r="AC580" i="2"/>
  <c r="AC579" i="2"/>
  <c r="AC578" i="2"/>
  <c r="AC577" i="2"/>
  <c r="AC576" i="2"/>
  <c r="AC575" i="2"/>
  <c r="AC574" i="2"/>
  <c r="AC573" i="2"/>
  <c r="AC572" i="2"/>
  <c r="AC571" i="2"/>
  <c r="AC570" i="2"/>
  <c r="AC569" i="2"/>
  <c r="AC568" i="2"/>
  <c r="AC567" i="2"/>
  <c r="AC566" i="2"/>
  <c r="AC565" i="2"/>
  <c r="AC564" i="2"/>
  <c r="AC563" i="2"/>
  <c r="AC562" i="2"/>
  <c r="AC561" i="2"/>
  <c r="AC560" i="2"/>
  <c r="AC559" i="2"/>
  <c r="AC558" i="2"/>
  <c r="AC557" i="2"/>
  <c r="AC556" i="2"/>
  <c r="AC555" i="2"/>
  <c r="AC554" i="2"/>
  <c r="AC553" i="2"/>
  <c r="AC552" i="2"/>
  <c r="AC551" i="2"/>
  <c r="AC550" i="2"/>
  <c r="AC549" i="2"/>
  <c r="AC548" i="2"/>
  <c r="AC547" i="2"/>
  <c r="AC546" i="2"/>
  <c r="AC545" i="2"/>
  <c r="AC544" i="2"/>
  <c r="AC543" i="2"/>
  <c r="AC541" i="2"/>
  <c r="AC540" i="2"/>
  <c r="AC539" i="2"/>
  <c r="AC538" i="2"/>
  <c r="AC537" i="2"/>
  <c r="AC536" i="2"/>
  <c r="AC535" i="2"/>
  <c r="AC534" i="2"/>
  <c r="AC533" i="2"/>
  <c r="AC532" i="2"/>
  <c r="AC531" i="2"/>
  <c r="AC530" i="2"/>
  <c r="AC529" i="2"/>
  <c r="AC528" i="2"/>
  <c r="AC527" i="2"/>
  <c r="AC526" i="2"/>
  <c r="AC525" i="2"/>
  <c r="AC524" i="2"/>
  <c r="AC523" i="2"/>
  <c r="AC522" i="2"/>
  <c r="AC521" i="2"/>
  <c r="AC519" i="2"/>
  <c r="AC518" i="2"/>
  <c r="AC516" i="2"/>
  <c r="AC515" i="2"/>
  <c r="AC514" i="2"/>
  <c r="AC513" i="2"/>
  <c r="AC512" i="2"/>
  <c r="AC511" i="2"/>
  <c r="AC510" i="2"/>
  <c r="AC509" i="2"/>
  <c r="AC508" i="2"/>
  <c r="AC507" i="2"/>
  <c r="AC506" i="2"/>
  <c r="AC505" i="2"/>
  <c r="AC504" i="2"/>
  <c r="AC503" i="2"/>
  <c r="AC502" i="2"/>
  <c r="AC501" i="2"/>
  <c r="AC500" i="2"/>
  <c r="AC499" i="2"/>
  <c r="AC498" i="2"/>
  <c r="AC497" i="2"/>
  <c r="AC495" i="2"/>
  <c r="AC494" i="2"/>
  <c r="AC493" i="2"/>
  <c r="AC492" i="2"/>
  <c r="AC491" i="2"/>
  <c r="AC490" i="2"/>
  <c r="AC489" i="2"/>
  <c r="AC488" i="2"/>
  <c r="AC487" i="2"/>
  <c r="AC486" i="2"/>
  <c r="AC485" i="2"/>
  <c r="AC484" i="2"/>
  <c r="AC483" i="2"/>
  <c r="AC482" i="2"/>
  <c r="AC480" i="2"/>
  <c r="AC479" i="2"/>
  <c r="AC478" i="2"/>
  <c r="AC477" i="2"/>
  <c r="AC476" i="2"/>
  <c r="AC475" i="2"/>
  <c r="AC474" i="2"/>
  <c r="AC473" i="2"/>
  <c r="AC472" i="2"/>
  <c r="AC471" i="2"/>
  <c r="AC469" i="2"/>
  <c r="AC468" i="2"/>
  <c r="AC467" i="2"/>
  <c r="AC466" i="2"/>
  <c r="AC465" i="2"/>
  <c r="AC464" i="2"/>
  <c r="AC463" i="2"/>
  <c r="AC462" i="2"/>
  <c r="AC461" i="2"/>
  <c r="AC460" i="2"/>
  <c r="AC459" i="2"/>
  <c r="AC458" i="2"/>
  <c r="AC457" i="2"/>
  <c r="AC456" i="2"/>
  <c r="AC455" i="2"/>
  <c r="AC454" i="2"/>
  <c r="AC453" i="2"/>
  <c r="AC452" i="2"/>
  <c r="AC451" i="2"/>
  <c r="AC450" i="2"/>
  <c r="AC449" i="2"/>
  <c r="AC448" i="2"/>
  <c r="AC446" i="2"/>
  <c r="AC445" i="2"/>
  <c r="AC444" i="2"/>
  <c r="AC443" i="2"/>
  <c r="AC442" i="2"/>
  <c r="AC441" i="2"/>
  <c r="AC439" i="2"/>
  <c r="AC438" i="2"/>
  <c r="AC437" i="2"/>
  <c r="AC436" i="2"/>
  <c r="AC435" i="2"/>
  <c r="AC434" i="2"/>
  <c r="AC433" i="2"/>
  <c r="AC432" i="2"/>
  <c r="AC431" i="2"/>
  <c r="AC430" i="2"/>
  <c r="AC429" i="2"/>
  <c r="AC428" i="2"/>
  <c r="AC427" i="2"/>
  <c r="AC426" i="2"/>
  <c r="AC425" i="2"/>
  <c r="AC424" i="2"/>
  <c r="AC423" i="2"/>
  <c r="AC422" i="2"/>
  <c r="AC421" i="2"/>
  <c r="AC420" i="2"/>
  <c r="AC419" i="2"/>
  <c r="AC418" i="2"/>
  <c r="AC417" i="2"/>
  <c r="AC416" i="2"/>
  <c r="AC415" i="2"/>
  <c r="AC414" i="2"/>
  <c r="AC413" i="2"/>
  <c r="AC412" i="2"/>
  <c r="AC411" i="2"/>
  <c r="AC410" i="2"/>
  <c r="AC409" i="2"/>
  <c r="AC408" i="2"/>
  <c r="AC407" i="2"/>
  <c r="AC406" i="2"/>
  <c r="AC405" i="2"/>
  <c r="AC404" i="2"/>
  <c r="AC403" i="2"/>
  <c r="AC401" i="2"/>
  <c r="AC400" i="2"/>
  <c r="AC399" i="2"/>
  <c r="AC398" i="2"/>
  <c r="AC397" i="2"/>
  <c r="AC396" i="2"/>
  <c r="AC395" i="2"/>
  <c r="AC394" i="2"/>
  <c r="AC393" i="2"/>
  <c r="AC392" i="2"/>
  <c r="AC391" i="2"/>
  <c r="AC390" i="2"/>
  <c r="AC389" i="2"/>
  <c r="AC388" i="2"/>
  <c r="AC387" i="2"/>
  <c r="AC386" i="2"/>
  <c r="AC385" i="2"/>
  <c r="AC384" i="2"/>
  <c r="AC383" i="2"/>
  <c r="AC382" i="2"/>
  <c r="AC381" i="2"/>
  <c r="AC380" i="2"/>
  <c r="AC379" i="2"/>
  <c r="AC378" i="2"/>
  <c r="AC377" i="2"/>
  <c r="AC376" i="2"/>
  <c r="AC375" i="2"/>
  <c r="AC374" i="2"/>
  <c r="AC373" i="2"/>
  <c r="AC372" i="2"/>
  <c r="AC371" i="2"/>
  <c r="AC370" i="2"/>
  <c r="AC369" i="2"/>
  <c r="AC368" i="2"/>
  <c r="AC367" i="2"/>
  <c r="AC366" i="2"/>
  <c r="AC365" i="2"/>
  <c r="AC364" i="2"/>
  <c r="AC363" i="2"/>
  <c r="AC362" i="2"/>
  <c r="AC361" i="2"/>
  <c r="AC359" i="2"/>
  <c r="AC358" i="2"/>
  <c r="AC355" i="2"/>
  <c r="AC354" i="2"/>
  <c r="AC353" i="2"/>
  <c r="AC352" i="2"/>
  <c r="AC351" i="2"/>
  <c r="AC350" i="2"/>
  <c r="AC349" i="2"/>
  <c r="AC348" i="2"/>
  <c r="AC347" i="2"/>
  <c r="AC346" i="2"/>
  <c r="AC345" i="2"/>
  <c r="AC344" i="2"/>
  <c r="AC343" i="2"/>
  <c r="AC342" i="2"/>
  <c r="AC341" i="2"/>
  <c r="AC340" i="2"/>
  <c r="AC339" i="2"/>
  <c r="AC338" i="2"/>
  <c r="AC337" i="2"/>
  <c r="AC336" i="2"/>
  <c r="AC335" i="2"/>
  <c r="AC334" i="2"/>
  <c r="AC333" i="2"/>
  <c r="AC332" i="2"/>
  <c r="AC331" i="2"/>
  <c r="AC330" i="2"/>
  <c r="AC329" i="2"/>
  <c r="AC328" i="2"/>
  <c r="AC327" i="2"/>
  <c r="AC326" i="2"/>
  <c r="AC325" i="2"/>
  <c r="AC324" i="2"/>
  <c r="AC323" i="2"/>
  <c r="AC322" i="2"/>
  <c r="AC321" i="2"/>
  <c r="AC320" i="2"/>
  <c r="AC319" i="2"/>
  <c r="AC318" i="2"/>
  <c r="AC317" i="2"/>
  <c r="AC316" i="2"/>
  <c r="AC315" i="2"/>
  <c r="AC314" i="2"/>
  <c r="AC313" i="2"/>
  <c r="AC312" i="2"/>
  <c r="AC311" i="2"/>
  <c r="AC310" i="2"/>
  <c r="AC309" i="2"/>
  <c r="AC308" i="2"/>
  <c r="AC307" i="2"/>
  <c r="AC306" i="2"/>
  <c r="AC305" i="2"/>
  <c r="AC304" i="2"/>
  <c r="AC303" i="2"/>
  <c r="AC302" i="2"/>
  <c r="AC301" i="2"/>
  <c r="AC300" i="2"/>
  <c r="AC299" i="2"/>
  <c r="AC298" i="2"/>
  <c r="AC297" i="2"/>
  <c r="AC296" i="2"/>
  <c r="AC295" i="2"/>
  <c r="AC294" i="2"/>
  <c r="AC293" i="2"/>
  <c r="AC292" i="2"/>
  <c r="AC291" i="2"/>
  <c r="AC290" i="2"/>
  <c r="AC289" i="2"/>
  <c r="AC288" i="2"/>
  <c r="AC287" i="2"/>
  <c r="AC286" i="2"/>
  <c r="AC285" i="2"/>
  <c r="AC284" i="2"/>
  <c r="AC283" i="2"/>
  <c r="AC282" i="2"/>
  <c r="AC281" i="2"/>
  <c r="AC280" i="2"/>
  <c r="AC279" i="2"/>
  <c r="AC277" i="2"/>
  <c r="AC276" i="2"/>
  <c r="AC275" i="2"/>
  <c r="AC274" i="2"/>
  <c r="AC273" i="2"/>
  <c r="AC272" i="2"/>
  <c r="AC271" i="2"/>
  <c r="AC270" i="2"/>
  <c r="AC269" i="2"/>
  <c r="AC268" i="2"/>
  <c r="AC267" i="2"/>
  <c r="AC266" i="2"/>
  <c r="AC265" i="2"/>
  <c r="AC264" i="2"/>
  <c r="AC263" i="2"/>
  <c r="AC262" i="2"/>
  <c r="AC261" i="2"/>
  <c r="AC260" i="2"/>
  <c r="AC259" i="2"/>
  <c r="AC257" i="2"/>
  <c r="AC256" i="2"/>
  <c r="AC255" i="2"/>
  <c r="AC254" i="2"/>
  <c r="AC253" i="2"/>
  <c r="AC252" i="2"/>
  <c r="AC251" i="2"/>
  <c r="AC250" i="2"/>
  <c r="AC249" i="2"/>
  <c r="AC248" i="2"/>
  <c r="AC247" i="2"/>
  <c r="AC246" i="2"/>
  <c r="AC245" i="2"/>
  <c r="AC244" i="2"/>
  <c r="AC243" i="2"/>
  <c r="AC242" i="2"/>
  <c r="AC241" i="2"/>
  <c r="AC240" i="2"/>
  <c r="AC239" i="2"/>
  <c r="AC238" i="2"/>
  <c r="AC237" i="2"/>
  <c r="AC236" i="2"/>
  <c r="AC235" i="2"/>
  <c r="AC234" i="2"/>
  <c r="AC233" i="2"/>
  <c r="AC232" i="2"/>
  <c r="AC231" i="2"/>
  <c r="AC230" i="2"/>
  <c r="AC229" i="2"/>
  <c r="AC228" i="2"/>
  <c r="AC227" i="2"/>
  <c r="AC226" i="2"/>
  <c r="AC225" i="2"/>
  <c r="AC224" i="2"/>
  <c r="AC223" i="2"/>
  <c r="AC222" i="2"/>
  <c r="AC221" i="2"/>
  <c r="AC220" i="2"/>
  <c r="AC219" i="2"/>
  <c r="AC218" i="2"/>
  <c r="AC217" i="2"/>
  <c r="AC216" i="2"/>
  <c r="AC215" i="2"/>
  <c r="AC214" i="2"/>
  <c r="AC213" i="2"/>
  <c r="AC212" i="2"/>
  <c r="AC211" i="2"/>
  <c r="AC210" i="2"/>
  <c r="AC209" i="2"/>
  <c r="AC208" i="2"/>
  <c r="AC207" i="2"/>
  <c r="AC206" i="2"/>
  <c r="AC205" i="2"/>
  <c r="AC204" i="2"/>
  <c r="AC202" i="2"/>
  <c r="AC201" i="2"/>
  <c r="AC200" i="2"/>
  <c r="AC199" i="2"/>
  <c r="AC198" i="2"/>
  <c r="AC197" i="2"/>
  <c r="AC196" i="2"/>
  <c r="AC195" i="2"/>
  <c r="AC194" i="2"/>
  <c r="AC193" i="2"/>
  <c r="AC192" i="2"/>
  <c r="AC191" i="2"/>
  <c r="AC190" i="2"/>
  <c r="AC189" i="2"/>
  <c r="AC188" i="2"/>
  <c r="AC187" i="2"/>
  <c r="AC186" i="2"/>
  <c r="AC185" i="2"/>
  <c r="AC184" i="2"/>
  <c r="AC183" i="2"/>
  <c r="AC182" i="2"/>
  <c r="AC181" i="2"/>
  <c r="AC180" i="2"/>
  <c r="AC179" i="2"/>
  <c r="AC178" i="2"/>
  <c r="AC177" i="2"/>
  <c r="AC176" i="2"/>
  <c r="AC175" i="2"/>
  <c r="AC174" i="2"/>
  <c r="AC173" i="2"/>
  <c r="AC172" i="2"/>
  <c r="AC171" i="2"/>
  <c r="AC170" i="2"/>
  <c r="AC169" i="2"/>
  <c r="AC168" i="2"/>
  <c r="AC167" i="2"/>
  <c r="AC166" i="2"/>
  <c r="AC165" i="2"/>
  <c r="AC164" i="2"/>
  <c r="AC163" i="2"/>
  <c r="AC161" i="2"/>
  <c r="AC160" i="2"/>
  <c r="AC159" i="2"/>
  <c r="AC158" i="2"/>
  <c r="AC157" i="2"/>
  <c r="AC155" i="2"/>
  <c r="AC154" i="2"/>
  <c r="AC153" i="2"/>
  <c r="AC152" i="2"/>
  <c r="AC151" i="2"/>
  <c r="AC150" i="2"/>
  <c r="AC149" i="2"/>
  <c r="AC148" i="2"/>
  <c r="AC147" i="2"/>
  <c r="AC146" i="2"/>
  <c r="AC145" i="2"/>
  <c r="AC143" i="2"/>
  <c r="AC142" i="2"/>
  <c r="AC141" i="2"/>
  <c r="AC140" i="2"/>
  <c r="AC139" i="2"/>
  <c r="AC138" i="2"/>
  <c r="AC137" i="2"/>
  <c r="AC136" i="2"/>
  <c r="AC135" i="2"/>
  <c r="AC134" i="2"/>
  <c r="AC133" i="2"/>
  <c r="AC132" i="2"/>
  <c r="AC131" i="2"/>
  <c r="AC130" i="2"/>
  <c r="AC128" i="2"/>
  <c r="AC127" i="2"/>
  <c r="AC125" i="2"/>
  <c r="AC124" i="2"/>
  <c r="AC123" i="2"/>
  <c r="AC122" i="2"/>
  <c r="AC121" i="2"/>
  <c r="AC120" i="2"/>
  <c r="AC119" i="2"/>
  <c r="AC118" i="2"/>
  <c r="AC117" i="2"/>
  <c r="AC116" i="2"/>
  <c r="AC115" i="2"/>
  <c r="AC114" i="2"/>
  <c r="AC113" i="2"/>
  <c r="AC112" i="2"/>
  <c r="AC111" i="2"/>
  <c r="AC110" i="2"/>
  <c r="AC109" i="2"/>
  <c r="AC108" i="2"/>
  <c r="AC107" i="2"/>
  <c r="AC106" i="2"/>
  <c r="AC105" i="2"/>
  <c r="AC104" i="2"/>
  <c r="AC103" i="2"/>
  <c r="AC102" i="2"/>
  <c r="AC101" i="2"/>
  <c r="AC100" i="2"/>
  <c r="AC99" i="2"/>
  <c r="AC98" i="2"/>
  <c r="AC97" i="2"/>
  <c r="AC96" i="2"/>
  <c r="AC94" i="2"/>
  <c r="AC93" i="2"/>
  <c r="AC92" i="2"/>
  <c r="AC91" i="2"/>
  <c r="AC90" i="2"/>
  <c r="AC89" i="2"/>
  <c r="AC88" i="2"/>
  <c r="AC87" i="2"/>
  <c r="AC86" i="2"/>
  <c r="AC85" i="2"/>
  <c r="AC84" i="2"/>
  <c r="AC83" i="2"/>
  <c r="AC82" i="2"/>
  <c r="AC81" i="2"/>
  <c r="AC80" i="2"/>
  <c r="AC79" i="2"/>
  <c r="AC78" i="2"/>
  <c r="AC77" i="2"/>
  <c r="AC76" i="2"/>
  <c r="AC75" i="2"/>
  <c r="AC73" i="2"/>
  <c r="AC72" i="2"/>
  <c r="AC71" i="2"/>
  <c r="AC70" i="2"/>
  <c r="AC69" i="2"/>
  <c r="AC68" i="2"/>
  <c r="AC67" i="2"/>
  <c r="AC66" i="2"/>
  <c r="AC65" i="2"/>
  <c r="AC64" i="2"/>
  <c r="AC63" i="2"/>
  <c r="AC62" i="2"/>
  <c r="AC61" i="2"/>
  <c r="AC60" i="2"/>
  <c r="AC59" i="2"/>
  <c r="AC58" i="2"/>
  <c r="AC57" i="2"/>
  <c r="AC56" i="2"/>
  <c r="AC55" i="2"/>
  <c r="AC54" i="2"/>
  <c r="AC53" i="2"/>
  <c r="AC52" i="2"/>
  <c r="AC51" i="2"/>
  <c r="AC50" i="2"/>
  <c r="AC49" i="2"/>
  <c r="AC48" i="2"/>
  <c r="AC47" i="2"/>
  <c r="AC46" i="2"/>
  <c r="AC45" i="2"/>
  <c r="AC44" i="2"/>
  <c r="AC43" i="2"/>
  <c r="AC42" i="2"/>
  <c r="AC41" i="2"/>
  <c r="AC40" i="2"/>
  <c r="AC39" i="2"/>
  <c r="AC38" i="2"/>
  <c r="AC37" i="2"/>
  <c r="AC36" i="2"/>
  <c r="AC35" i="2"/>
  <c r="AC34" i="2"/>
  <c r="AC33" i="2"/>
  <c r="AC32" i="2"/>
  <c r="AC31" i="2"/>
  <c r="AC30" i="2"/>
  <c r="AC29" i="2"/>
  <c r="AC28" i="2"/>
  <c r="AC27" i="2"/>
  <c r="AC25" i="2"/>
  <c r="AC24" i="2"/>
  <c r="AC22" i="2"/>
  <c r="AC20" i="2"/>
  <c r="AC19" i="2"/>
  <c r="AC18" i="2"/>
  <c r="AC17" i="2"/>
  <c r="AC16" i="2"/>
  <c r="AC15" i="2"/>
  <c r="AC14" i="2"/>
  <c r="AC13" i="2"/>
  <c r="AC12" i="2"/>
  <c r="AC11" i="2"/>
  <c r="AC9" i="2"/>
  <c r="AC8" i="2"/>
  <c r="AC7" i="2"/>
  <c r="AC6" i="2"/>
  <c r="AC5" i="2"/>
  <c r="AC4" i="2"/>
  <c r="AC3" i="2"/>
  <c r="AC10" i="2"/>
  <c r="AC681" i="2"/>
  <c r="AF2" i="2"/>
  <c r="AF913" i="2"/>
  <c r="AF912" i="2"/>
  <c r="AF911" i="2"/>
  <c r="AF910" i="2"/>
  <c r="AF909" i="2"/>
  <c r="AF908" i="2"/>
  <c r="AF907" i="2"/>
  <c r="AF906" i="2"/>
  <c r="AF905" i="2"/>
  <c r="AF904" i="2"/>
  <c r="AF903" i="2"/>
  <c r="AF902" i="2"/>
  <c r="AF901" i="2"/>
  <c r="AF900" i="2"/>
  <c r="AF899" i="2"/>
  <c r="AF898" i="2"/>
  <c r="AF897" i="2"/>
  <c r="AF896" i="2"/>
  <c r="AF895" i="2"/>
  <c r="AF894" i="2"/>
  <c r="AF893" i="2"/>
  <c r="AF892" i="2"/>
  <c r="AF891" i="2"/>
  <c r="AF890" i="2"/>
  <c r="AF889" i="2"/>
  <c r="AF888" i="2"/>
  <c r="AF887" i="2"/>
  <c r="AF886" i="2"/>
  <c r="AF885" i="2"/>
  <c r="AF884" i="2"/>
  <c r="AF883" i="2"/>
  <c r="AF882" i="2"/>
  <c r="AF881" i="2"/>
  <c r="AF880" i="2"/>
  <c r="AF879" i="2"/>
  <c r="AF878" i="2"/>
  <c r="AF877" i="2"/>
  <c r="AF876" i="2"/>
  <c r="AF875" i="2"/>
  <c r="AF874" i="2"/>
  <c r="AF873" i="2"/>
  <c r="AF872" i="2"/>
  <c r="AF871" i="2"/>
  <c r="AF870" i="2"/>
  <c r="AF869" i="2"/>
  <c r="AF868" i="2"/>
  <c r="AF867" i="2"/>
  <c r="AF866" i="2"/>
  <c r="AF865" i="2"/>
  <c r="AF864" i="2"/>
  <c r="AF863" i="2"/>
  <c r="AF862" i="2"/>
  <c r="AF861" i="2"/>
  <c r="AF860" i="2"/>
  <c r="AF859" i="2"/>
  <c r="AF858" i="2"/>
  <c r="AF857" i="2"/>
  <c r="AF856" i="2"/>
  <c r="AF855" i="2"/>
  <c r="AF854" i="2"/>
  <c r="AF853" i="2"/>
  <c r="AF852" i="2"/>
  <c r="AF851" i="2"/>
  <c r="AF850" i="2"/>
  <c r="AF849" i="2"/>
  <c r="AF848" i="2"/>
  <c r="AF847" i="2"/>
  <c r="AF846" i="2"/>
  <c r="AF845" i="2"/>
  <c r="AF844" i="2"/>
  <c r="AF843" i="2"/>
  <c r="AF842" i="2"/>
  <c r="AF841" i="2"/>
  <c r="AF840" i="2"/>
  <c r="AF839" i="2"/>
  <c r="AF838" i="2"/>
  <c r="AF837" i="2"/>
  <c r="AF836" i="2"/>
  <c r="AF835" i="2"/>
  <c r="AF834" i="2"/>
  <c r="AF833" i="2"/>
  <c r="AF832" i="2"/>
  <c r="AF831" i="2"/>
  <c r="AF830" i="2"/>
  <c r="AF829" i="2"/>
  <c r="AF828" i="2"/>
  <c r="AF827" i="2"/>
  <c r="AF826" i="2"/>
  <c r="AF825" i="2"/>
  <c r="AF824" i="2"/>
  <c r="AF823" i="2"/>
  <c r="AF822" i="2"/>
  <c r="AF821" i="2"/>
  <c r="AF820" i="2"/>
  <c r="AF819" i="2"/>
  <c r="AF818" i="2"/>
  <c r="AF817" i="2"/>
  <c r="AF816" i="2"/>
  <c r="AF815" i="2"/>
  <c r="AF814" i="2"/>
  <c r="AF813" i="2"/>
  <c r="AF812" i="2"/>
  <c r="AF811" i="2"/>
  <c r="AF810" i="2"/>
  <c r="AF809" i="2"/>
  <c r="AF808" i="2"/>
  <c r="AF807" i="2"/>
  <c r="AF806" i="2"/>
  <c r="AF805" i="2"/>
  <c r="AF804" i="2"/>
  <c r="AF803" i="2"/>
  <c r="AF802" i="2"/>
  <c r="AF801" i="2"/>
  <c r="AF800" i="2"/>
  <c r="AF799" i="2"/>
  <c r="AF798" i="2"/>
  <c r="AF797" i="2"/>
  <c r="AF796" i="2"/>
  <c r="AF795" i="2"/>
  <c r="AF794" i="2"/>
  <c r="AF793" i="2"/>
  <c r="AF792" i="2"/>
  <c r="AF791" i="2"/>
  <c r="AF790" i="2"/>
  <c r="AF789" i="2"/>
  <c r="AF788" i="2"/>
  <c r="AF787" i="2"/>
  <c r="AF786" i="2"/>
  <c r="AF785" i="2"/>
  <c r="AF784" i="2"/>
  <c r="AF783" i="2"/>
  <c r="AF782" i="2"/>
  <c r="AF781" i="2"/>
  <c r="AF780" i="2"/>
  <c r="AF779" i="2"/>
  <c r="AF778" i="2"/>
  <c r="AF777" i="2"/>
  <c r="AF776" i="2"/>
  <c r="AF775" i="2"/>
  <c r="AF774" i="2"/>
  <c r="AF773" i="2"/>
  <c r="AF772" i="2"/>
  <c r="AF771" i="2"/>
  <c r="AF770" i="2"/>
  <c r="AF769" i="2"/>
  <c r="AF768" i="2"/>
  <c r="AF767" i="2"/>
  <c r="AF766" i="2"/>
  <c r="AF765" i="2"/>
  <c r="AF764" i="2"/>
  <c r="AF763" i="2"/>
  <c r="AF762" i="2"/>
  <c r="AF761" i="2"/>
  <c r="AF760" i="2"/>
  <c r="AF759" i="2"/>
  <c r="AF758" i="2"/>
  <c r="AF757" i="2"/>
  <c r="AF756" i="2"/>
  <c r="AF755" i="2"/>
  <c r="AF754" i="2"/>
  <c r="AF753" i="2"/>
  <c r="AF752" i="2"/>
  <c r="AF751" i="2"/>
  <c r="AF750" i="2"/>
  <c r="AF749" i="2"/>
  <c r="AF748" i="2"/>
  <c r="AF747" i="2"/>
  <c r="AF746" i="2"/>
  <c r="AF745" i="2"/>
  <c r="AF744" i="2"/>
  <c r="AF743" i="2"/>
  <c r="AF742" i="2"/>
  <c r="AF741" i="2"/>
  <c r="AF740" i="2"/>
  <c r="AF739" i="2"/>
  <c r="AF738" i="2"/>
  <c r="AF737" i="2"/>
  <c r="AF736" i="2"/>
  <c r="AF735" i="2"/>
  <c r="AF734" i="2"/>
  <c r="AF733" i="2"/>
  <c r="AF732" i="2"/>
  <c r="AF731" i="2"/>
  <c r="AF730" i="2"/>
  <c r="AF729" i="2"/>
  <c r="AF728" i="2"/>
  <c r="AF727" i="2"/>
  <c r="AF726" i="2"/>
  <c r="AF725" i="2"/>
  <c r="AF724" i="2"/>
  <c r="AF723" i="2"/>
  <c r="AF722" i="2"/>
  <c r="AF721" i="2"/>
  <c r="AF720" i="2"/>
  <c r="AF719" i="2"/>
  <c r="AF718" i="2"/>
  <c r="AF717" i="2"/>
  <c r="AF716" i="2"/>
  <c r="AF715" i="2"/>
  <c r="AF714" i="2"/>
  <c r="AF713" i="2"/>
  <c r="AF712" i="2"/>
  <c r="AF711" i="2"/>
  <c r="AF710" i="2"/>
  <c r="AF709" i="2"/>
  <c r="AF708" i="2"/>
  <c r="AF707" i="2"/>
  <c r="AF706" i="2"/>
  <c r="AF705" i="2"/>
  <c r="AF704" i="2"/>
  <c r="AF703" i="2"/>
  <c r="AF702" i="2"/>
  <c r="AF701" i="2"/>
  <c r="AF700" i="2"/>
  <c r="AF699" i="2"/>
  <c r="AF698" i="2"/>
  <c r="AF697" i="2"/>
  <c r="AF696" i="2"/>
  <c r="AF695" i="2"/>
  <c r="AF694" i="2"/>
  <c r="AF693" i="2"/>
  <c r="AF692" i="2"/>
  <c r="AF691" i="2"/>
  <c r="AF690" i="2"/>
  <c r="AF689" i="2"/>
  <c r="AF688" i="2"/>
  <c r="AF687" i="2"/>
  <c r="AF686" i="2"/>
  <c r="AF685" i="2"/>
  <c r="AF684" i="2"/>
  <c r="AF683" i="2"/>
  <c r="AF682" i="2"/>
  <c r="AF681" i="2"/>
  <c r="AF680" i="2"/>
  <c r="AF679" i="2"/>
  <c r="AF678" i="2"/>
  <c r="AF677" i="2"/>
  <c r="AF676" i="2"/>
  <c r="AF675" i="2"/>
  <c r="AF674" i="2"/>
  <c r="AF673" i="2"/>
  <c r="AF672" i="2"/>
  <c r="AF671" i="2"/>
  <c r="AF670" i="2"/>
  <c r="AF669" i="2"/>
  <c r="AF668" i="2"/>
  <c r="AF667" i="2"/>
  <c r="AF666" i="2"/>
  <c r="AF665" i="2"/>
  <c r="AF664" i="2"/>
  <c r="AF663" i="2"/>
  <c r="AF662" i="2"/>
  <c r="AF661" i="2"/>
  <c r="AF660" i="2"/>
  <c r="AF659" i="2"/>
  <c r="AF658" i="2"/>
  <c r="AF657" i="2"/>
  <c r="AF656" i="2"/>
  <c r="AF655" i="2"/>
  <c r="AF654" i="2"/>
  <c r="AF653" i="2"/>
  <c r="AF652" i="2"/>
  <c r="AF651" i="2"/>
  <c r="AF650" i="2"/>
  <c r="AF649" i="2"/>
  <c r="AF648" i="2"/>
  <c r="AF647" i="2"/>
  <c r="AF646" i="2"/>
  <c r="AF645" i="2"/>
  <c r="AF644" i="2"/>
  <c r="AF643" i="2"/>
  <c r="AF642" i="2"/>
  <c r="AF641" i="2"/>
  <c r="AF640" i="2"/>
  <c r="AF639" i="2"/>
  <c r="AF638" i="2"/>
  <c r="AF637" i="2"/>
  <c r="AF636" i="2"/>
  <c r="AF635" i="2"/>
  <c r="AF634" i="2"/>
  <c r="AF633" i="2"/>
  <c r="AF632" i="2"/>
  <c r="AF631" i="2"/>
  <c r="AF630" i="2"/>
  <c r="AF629" i="2"/>
  <c r="AF628" i="2"/>
  <c r="AF627" i="2"/>
  <c r="AF626" i="2"/>
  <c r="AF625" i="2"/>
  <c r="AF624" i="2"/>
  <c r="AF623" i="2"/>
  <c r="AF622" i="2"/>
  <c r="AF621" i="2"/>
  <c r="AF620" i="2"/>
  <c r="AF619" i="2"/>
  <c r="AF618" i="2"/>
  <c r="AF617" i="2"/>
  <c r="AF616" i="2"/>
  <c r="AF615" i="2"/>
  <c r="AF614" i="2"/>
  <c r="AF613" i="2"/>
  <c r="AF612" i="2"/>
  <c r="AF611" i="2"/>
  <c r="AF610" i="2"/>
  <c r="AF609" i="2"/>
  <c r="AF608" i="2"/>
  <c r="AF607" i="2"/>
  <c r="AF606" i="2"/>
  <c r="AF605" i="2"/>
  <c r="AF604" i="2"/>
  <c r="AF603" i="2"/>
  <c r="AF602" i="2"/>
  <c r="AF601" i="2"/>
  <c r="AF600" i="2"/>
  <c r="AF599" i="2"/>
  <c r="AF598" i="2"/>
  <c r="AF597" i="2"/>
  <c r="AF596" i="2"/>
  <c r="AF595" i="2"/>
  <c r="AF594" i="2"/>
  <c r="AF593" i="2"/>
  <c r="AF592" i="2"/>
  <c r="AF591" i="2"/>
  <c r="AF590" i="2"/>
  <c r="AF589" i="2"/>
  <c r="AF588" i="2"/>
  <c r="AF587" i="2"/>
  <c r="AF586" i="2"/>
  <c r="AF585" i="2"/>
  <c r="AF584" i="2"/>
  <c r="AF583" i="2"/>
  <c r="AF582" i="2"/>
  <c r="AF581" i="2"/>
  <c r="AF580" i="2"/>
  <c r="AF579" i="2"/>
  <c r="AF578" i="2"/>
  <c r="AF577" i="2"/>
  <c r="AF576" i="2"/>
  <c r="AF575" i="2"/>
  <c r="AF574" i="2"/>
  <c r="AF573" i="2"/>
  <c r="AF572" i="2"/>
  <c r="AF571" i="2"/>
  <c r="AF570" i="2"/>
  <c r="AF569" i="2"/>
  <c r="AF568" i="2"/>
  <c r="AF567" i="2"/>
  <c r="AF566" i="2"/>
  <c r="AF565" i="2"/>
  <c r="AF564" i="2"/>
  <c r="AF563" i="2"/>
  <c r="AF562" i="2"/>
  <c r="AF561" i="2"/>
  <c r="AF560" i="2"/>
  <c r="AF559" i="2"/>
  <c r="AF558" i="2"/>
  <c r="AF557" i="2"/>
  <c r="AF556" i="2"/>
  <c r="AF555" i="2"/>
  <c r="AF554" i="2"/>
  <c r="AF553" i="2"/>
  <c r="AF552" i="2"/>
  <c r="AF551" i="2"/>
  <c r="AF550" i="2"/>
  <c r="AF549" i="2"/>
  <c r="AF548" i="2"/>
  <c r="AF547" i="2"/>
  <c r="AF546" i="2"/>
  <c r="AF545" i="2"/>
  <c r="AF544" i="2"/>
  <c r="AF543" i="2"/>
  <c r="AF542" i="2"/>
  <c r="AF541" i="2"/>
  <c r="AF540" i="2"/>
  <c r="AF539" i="2"/>
  <c r="AF538" i="2"/>
  <c r="AF537" i="2"/>
  <c r="AF536" i="2"/>
  <c r="AF535" i="2"/>
  <c r="AF534" i="2"/>
  <c r="AF533" i="2"/>
  <c r="AF532" i="2"/>
  <c r="AF531" i="2"/>
  <c r="AF530" i="2"/>
  <c r="AF529" i="2"/>
  <c r="AF528" i="2"/>
  <c r="AF527" i="2"/>
  <c r="AF526" i="2"/>
  <c r="AF525" i="2"/>
  <c r="AF524" i="2"/>
  <c r="AF523" i="2"/>
  <c r="AF522" i="2"/>
  <c r="AF521" i="2"/>
  <c r="AF520" i="2"/>
  <c r="AF519" i="2"/>
  <c r="AF518" i="2"/>
  <c r="AF517" i="2"/>
  <c r="AF516" i="2"/>
  <c r="AF515" i="2"/>
  <c r="AF514" i="2"/>
  <c r="AF513" i="2"/>
  <c r="AF512" i="2"/>
  <c r="AF511" i="2"/>
  <c r="AF510" i="2"/>
  <c r="AF509" i="2"/>
  <c r="AF508" i="2"/>
  <c r="AF507" i="2"/>
  <c r="AF506" i="2"/>
  <c r="AF505" i="2"/>
  <c r="AF504" i="2"/>
  <c r="AF503" i="2"/>
  <c r="AF502" i="2"/>
  <c r="AF501" i="2"/>
  <c r="AF500" i="2"/>
  <c r="AF499" i="2"/>
  <c r="AF498" i="2"/>
  <c r="AF497" i="2"/>
  <c r="AF496" i="2"/>
  <c r="AF495" i="2"/>
  <c r="AF494" i="2"/>
  <c r="AF493" i="2"/>
  <c r="AF492" i="2"/>
  <c r="AF491" i="2"/>
  <c r="AF490" i="2"/>
  <c r="AF489" i="2"/>
  <c r="AF488" i="2"/>
  <c r="AF487" i="2"/>
  <c r="AF486" i="2"/>
  <c r="AF485" i="2"/>
  <c r="AF484" i="2"/>
  <c r="AF483" i="2"/>
  <c r="AF482" i="2"/>
  <c r="AF481" i="2"/>
  <c r="AF480" i="2"/>
  <c r="AF479" i="2"/>
  <c r="AF478" i="2"/>
  <c r="AF477" i="2"/>
  <c r="AF476" i="2"/>
  <c r="AF475" i="2"/>
  <c r="AF474" i="2"/>
  <c r="AF473" i="2"/>
  <c r="AF472" i="2"/>
  <c r="AF471" i="2"/>
  <c r="AF470" i="2"/>
  <c r="AF469" i="2"/>
  <c r="AF468" i="2"/>
  <c r="AF467" i="2"/>
  <c r="AF466" i="2"/>
  <c r="AF465" i="2"/>
  <c r="AF464" i="2"/>
  <c r="AF463" i="2"/>
  <c r="AF462" i="2"/>
  <c r="AF461" i="2"/>
  <c r="AF460" i="2"/>
  <c r="AF459" i="2"/>
  <c r="AF458" i="2"/>
  <c r="AF457" i="2"/>
  <c r="AF456" i="2"/>
  <c r="AF455" i="2"/>
  <c r="AF454" i="2"/>
  <c r="AF453" i="2"/>
  <c r="AF452" i="2"/>
  <c r="AF451" i="2"/>
  <c r="AF450" i="2"/>
  <c r="AF449" i="2"/>
  <c r="AF448" i="2"/>
  <c r="AF447" i="2"/>
  <c r="AF446" i="2"/>
  <c r="AF445" i="2"/>
  <c r="AF444" i="2"/>
  <c r="AF443" i="2"/>
  <c r="AF442" i="2"/>
  <c r="AF441" i="2"/>
  <c r="AF440" i="2"/>
  <c r="AF439" i="2"/>
  <c r="AF438" i="2"/>
  <c r="AF437" i="2"/>
  <c r="AF436" i="2"/>
  <c r="AF435" i="2"/>
  <c r="AF434" i="2"/>
  <c r="AF433" i="2"/>
  <c r="AF432" i="2"/>
  <c r="AF431" i="2"/>
  <c r="AF430" i="2"/>
  <c r="AF429" i="2"/>
  <c r="AF428" i="2"/>
  <c r="AF427" i="2"/>
  <c r="AF426" i="2"/>
  <c r="AF425" i="2"/>
  <c r="AF424" i="2"/>
  <c r="AF423" i="2"/>
  <c r="AF422" i="2"/>
  <c r="AF421" i="2"/>
  <c r="AF420" i="2"/>
  <c r="AF419" i="2"/>
  <c r="AF418" i="2"/>
  <c r="AF417" i="2"/>
  <c r="AF416" i="2"/>
  <c r="AF415" i="2"/>
  <c r="AF414" i="2"/>
  <c r="AF413" i="2"/>
  <c r="AF412" i="2"/>
  <c r="AF411" i="2"/>
  <c r="AF410" i="2"/>
  <c r="AF409" i="2"/>
  <c r="AF408" i="2"/>
  <c r="AF407" i="2"/>
  <c r="AF406" i="2"/>
  <c r="AF405" i="2"/>
  <c r="AF404" i="2"/>
  <c r="AF403" i="2"/>
  <c r="AF402" i="2"/>
  <c r="AF401" i="2"/>
  <c r="AF400" i="2"/>
  <c r="AF399" i="2"/>
  <c r="AF398" i="2"/>
  <c r="AF397" i="2"/>
  <c r="AF396" i="2"/>
  <c r="AF395" i="2"/>
  <c r="AF394" i="2"/>
  <c r="AF393" i="2"/>
  <c r="AF392" i="2"/>
  <c r="AF391" i="2"/>
  <c r="AF390" i="2"/>
  <c r="AF389" i="2"/>
  <c r="AF388" i="2"/>
  <c r="AF387" i="2"/>
  <c r="AF386" i="2"/>
  <c r="AF385" i="2"/>
  <c r="AF384" i="2"/>
  <c r="AF383" i="2"/>
  <c r="AF382" i="2"/>
  <c r="AF381" i="2"/>
  <c r="AF380" i="2"/>
  <c r="AF379" i="2"/>
  <c r="AF378" i="2"/>
  <c r="AF377" i="2"/>
  <c r="AF376" i="2"/>
  <c r="AF375" i="2"/>
  <c r="AF374" i="2"/>
  <c r="AF373" i="2"/>
  <c r="AF372" i="2"/>
  <c r="AF371" i="2"/>
  <c r="AF370" i="2"/>
  <c r="AF369" i="2"/>
  <c r="AF368" i="2"/>
  <c r="AF367" i="2"/>
  <c r="AF366" i="2"/>
  <c r="AF365" i="2"/>
  <c r="AF364" i="2"/>
  <c r="AF363" i="2"/>
  <c r="AF362" i="2"/>
  <c r="AF361" i="2"/>
  <c r="AF360" i="2"/>
  <c r="AF359" i="2"/>
  <c r="AF358" i="2"/>
  <c r="AF357" i="2"/>
  <c r="AF356" i="2"/>
  <c r="AF355" i="2"/>
  <c r="AF354" i="2"/>
  <c r="AF353" i="2"/>
  <c r="AF352" i="2"/>
  <c r="AF351" i="2"/>
  <c r="AF350" i="2"/>
  <c r="AF349" i="2"/>
  <c r="AF348" i="2"/>
  <c r="AF347" i="2"/>
  <c r="AF346" i="2"/>
  <c r="AF345" i="2"/>
  <c r="AF344" i="2"/>
  <c r="AF343" i="2"/>
  <c r="AF342" i="2"/>
  <c r="AF341" i="2"/>
  <c r="AF340" i="2"/>
  <c r="AF339" i="2"/>
  <c r="AF338" i="2"/>
  <c r="AF337" i="2"/>
  <c r="AF336" i="2"/>
  <c r="AF335" i="2"/>
  <c r="AF334" i="2"/>
  <c r="AF333" i="2"/>
  <c r="AF332" i="2"/>
  <c r="AF331" i="2"/>
  <c r="AF330" i="2"/>
  <c r="AF329" i="2"/>
  <c r="AF328" i="2"/>
  <c r="AF327" i="2"/>
  <c r="AF326" i="2"/>
  <c r="AF325" i="2"/>
  <c r="AF324" i="2"/>
  <c r="AF323" i="2"/>
  <c r="AF322" i="2"/>
  <c r="AF321" i="2"/>
  <c r="AF320" i="2"/>
  <c r="AF319" i="2"/>
  <c r="AF318" i="2"/>
  <c r="AF317" i="2"/>
  <c r="AF316" i="2"/>
  <c r="AF315" i="2"/>
  <c r="AF314" i="2"/>
  <c r="AF313" i="2"/>
  <c r="AF312" i="2"/>
  <c r="AF311" i="2"/>
  <c r="AF310" i="2"/>
  <c r="AF309" i="2"/>
  <c r="AF308" i="2"/>
  <c r="AF307" i="2"/>
  <c r="AF306" i="2"/>
  <c r="AF305" i="2"/>
  <c r="AF304" i="2"/>
  <c r="AF303" i="2"/>
  <c r="AF302" i="2"/>
  <c r="AF301" i="2"/>
  <c r="AF300" i="2"/>
  <c r="AF299" i="2"/>
  <c r="AF298" i="2"/>
  <c r="AF297" i="2"/>
  <c r="AF296" i="2"/>
  <c r="AF295" i="2"/>
  <c r="AF294" i="2"/>
  <c r="AF293" i="2"/>
  <c r="AF292" i="2"/>
  <c r="AF291" i="2"/>
  <c r="AF290" i="2"/>
  <c r="AF289" i="2"/>
  <c r="AF288" i="2"/>
  <c r="AF287" i="2"/>
  <c r="AF286" i="2"/>
  <c r="AF285" i="2"/>
  <c r="AF284" i="2"/>
  <c r="AF283" i="2"/>
  <c r="AF282" i="2"/>
  <c r="AF281" i="2"/>
  <c r="AF280" i="2"/>
  <c r="AF279" i="2"/>
  <c r="AF278" i="2"/>
  <c r="AF277" i="2"/>
  <c r="AF276" i="2"/>
  <c r="AF275" i="2"/>
  <c r="AF274" i="2"/>
  <c r="AF273" i="2"/>
  <c r="AF272" i="2"/>
  <c r="AF271" i="2"/>
  <c r="AF270" i="2"/>
  <c r="AF269" i="2"/>
  <c r="AF268" i="2"/>
  <c r="AF267" i="2"/>
  <c r="AF266" i="2"/>
  <c r="AF265" i="2"/>
  <c r="AF264" i="2"/>
  <c r="AF263" i="2"/>
  <c r="AF262" i="2"/>
  <c r="AF261" i="2"/>
  <c r="AF260" i="2"/>
  <c r="AF259" i="2"/>
  <c r="AF258" i="2"/>
  <c r="AF257" i="2"/>
  <c r="AF256" i="2"/>
  <c r="AF255" i="2"/>
  <c r="AF254" i="2"/>
  <c r="AF253" i="2"/>
  <c r="AF252" i="2"/>
  <c r="AF251" i="2"/>
  <c r="AF250" i="2"/>
  <c r="AF249" i="2"/>
  <c r="AF248" i="2"/>
  <c r="AF247" i="2"/>
  <c r="AF246" i="2"/>
  <c r="AF245" i="2"/>
  <c r="AF244" i="2"/>
  <c r="AF243" i="2"/>
  <c r="AF242" i="2"/>
  <c r="AF241" i="2"/>
  <c r="AF240" i="2"/>
  <c r="AF239" i="2"/>
  <c r="AF238" i="2"/>
  <c r="AF237" i="2"/>
  <c r="AF236" i="2"/>
  <c r="AF235" i="2"/>
  <c r="AF234" i="2"/>
  <c r="AF233" i="2"/>
  <c r="AF232" i="2"/>
  <c r="AF231" i="2"/>
  <c r="AF230" i="2"/>
  <c r="AF229" i="2"/>
  <c r="AF228" i="2"/>
  <c r="AF227" i="2"/>
  <c r="AF226" i="2"/>
  <c r="AF225" i="2"/>
  <c r="AF224" i="2"/>
  <c r="AF223" i="2"/>
  <c r="AF222" i="2"/>
  <c r="AF221" i="2"/>
  <c r="AF220" i="2"/>
  <c r="AF219" i="2"/>
  <c r="AF218" i="2"/>
  <c r="AF217" i="2"/>
  <c r="AF216" i="2"/>
  <c r="AF215" i="2"/>
  <c r="AF214" i="2"/>
  <c r="AF213" i="2"/>
  <c r="AF212" i="2"/>
  <c r="AF211" i="2"/>
  <c r="AF210" i="2"/>
  <c r="AF209" i="2"/>
  <c r="AF208" i="2"/>
  <c r="AF207" i="2"/>
  <c r="AF206" i="2"/>
  <c r="AF205" i="2"/>
  <c r="AF204" i="2"/>
  <c r="AF203" i="2"/>
  <c r="AF202" i="2"/>
  <c r="AF201" i="2"/>
  <c r="AF200" i="2"/>
  <c r="AF199" i="2"/>
  <c r="AF198" i="2"/>
  <c r="AF197" i="2"/>
  <c r="AF196" i="2"/>
  <c r="AF195" i="2"/>
  <c r="AF194" i="2"/>
  <c r="AF193" i="2"/>
  <c r="AF192" i="2"/>
  <c r="AF191" i="2"/>
  <c r="AF190" i="2"/>
  <c r="AF189" i="2"/>
  <c r="AF188" i="2"/>
  <c r="AF187" i="2"/>
  <c r="AF186" i="2"/>
  <c r="AF185" i="2"/>
  <c r="AF184" i="2"/>
  <c r="AF183" i="2"/>
  <c r="AF182" i="2"/>
  <c r="AF181" i="2"/>
  <c r="AF180" i="2"/>
  <c r="AF179" i="2"/>
  <c r="AF178" i="2"/>
  <c r="AF177" i="2"/>
  <c r="AF176" i="2"/>
  <c r="AF175" i="2"/>
  <c r="AF174" i="2"/>
  <c r="AF173" i="2"/>
  <c r="AF172" i="2"/>
  <c r="AF171" i="2"/>
  <c r="AF170" i="2"/>
  <c r="AF169" i="2"/>
  <c r="AF168" i="2"/>
  <c r="AF167" i="2"/>
  <c r="AF166" i="2"/>
  <c r="AF165" i="2"/>
  <c r="AF164" i="2"/>
  <c r="AF163" i="2"/>
  <c r="AF162" i="2"/>
  <c r="AF161" i="2"/>
  <c r="AF160" i="2"/>
  <c r="AF159" i="2"/>
  <c r="AF158" i="2"/>
  <c r="AF157" i="2"/>
  <c r="AF156" i="2"/>
  <c r="AF155" i="2"/>
  <c r="AF154" i="2"/>
  <c r="AF153" i="2"/>
  <c r="AF152" i="2"/>
  <c r="AF151" i="2"/>
  <c r="AF150" i="2"/>
  <c r="AF149" i="2"/>
  <c r="AF148" i="2"/>
  <c r="AF147" i="2"/>
  <c r="AF146" i="2"/>
  <c r="AF145" i="2"/>
  <c r="AF144" i="2"/>
  <c r="AF143" i="2"/>
  <c r="AF142" i="2"/>
  <c r="AF141" i="2"/>
  <c r="AF140" i="2"/>
  <c r="AF139" i="2"/>
  <c r="AF138" i="2"/>
  <c r="AF137" i="2"/>
  <c r="AF136" i="2"/>
  <c r="AF135" i="2"/>
  <c r="AF134" i="2"/>
  <c r="AF133" i="2"/>
  <c r="AF132" i="2"/>
  <c r="AF131" i="2"/>
  <c r="AF130" i="2"/>
  <c r="AF129" i="2"/>
  <c r="AF128" i="2"/>
  <c r="AF127" i="2"/>
  <c r="AF126" i="2"/>
  <c r="AF125" i="2"/>
  <c r="AF124" i="2"/>
  <c r="AF123" i="2"/>
  <c r="AF122" i="2"/>
  <c r="AF121" i="2"/>
  <c r="AF120" i="2"/>
  <c r="AF119" i="2"/>
  <c r="AF118" i="2"/>
  <c r="AF117" i="2"/>
  <c r="AF116" i="2"/>
  <c r="AF115" i="2"/>
  <c r="AF114" i="2"/>
  <c r="AF113" i="2"/>
  <c r="AF112" i="2"/>
  <c r="AF111" i="2"/>
  <c r="AF110" i="2"/>
  <c r="AF109" i="2"/>
  <c r="AF108" i="2"/>
  <c r="AF107" i="2"/>
  <c r="AF106" i="2"/>
  <c r="AF105" i="2"/>
  <c r="AF104" i="2"/>
  <c r="AF103" i="2"/>
  <c r="AF102" i="2"/>
  <c r="AF101" i="2"/>
  <c r="AF100" i="2"/>
  <c r="AF99" i="2"/>
  <c r="AF98" i="2"/>
  <c r="AF97" i="2"/>
  <c r="AF96" i="2"/>
  <c r="AF95" i="2"/>
  <c r="AF94" i="2"/>
  <c r="AF93" i="2"/>
  <c r="AF92" i="2"/>
  <c r="AF91" i="2"/>
  <c r="AF90" i="2"/>
  <c r="AF89" i="2"/>
  <c r="AF88" i="2"/>
  <c r="AF87" i="2"/>
  <c r="AF86" i="2"/>
  <c r="AF85" i="2"/>
  <c r="AF84" i="2"/>
  <c r="AF83" i="2"/>
  <c r="AF82" i="2"/>
  <c r="AF81" i="2"/>
  <c r="AF80" i="2"/>
  <c r="AF79" i="2"/>
  <c r="AF78" i="2"/>
  <c r="AF77" i="2"/>
  <c r="AF76" i="2"/>
  <c r="AF75" i="2"/>
  <c r="AF74" i="2"/>
  <c r="AF73" i="2"/>
  <c r="AF72" i="2"/>
  <c r="AF71" i="2"/>
  <c r="AF70" i="2"/>
  <c r="AF69" i="2"/>
  <c r="AF68" i="2"/>
  <c r="AF67" i="2"/>
  <c r="AF66" i="2"/>
  <c r="AF65" i="2"/>
  <c r="AF64" i="2"/>
  <c r="AF63" i="2"/>
  <c r="AF62" i="2"/>
  <c r="AF61" i="2"/>
  <c r="AF60" i="2"/>
  <c r="AF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F4" i="2"/>
  <c r="AF3" i="2"/>
  <c r="AG3" i="2" l="1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G506" i="2"/>
  <c r="AG507" i="2"/>
  <c r="AG508" i="2"/>
  <c r="AG509" i="2"/>
  <c r="AG510" i="2"/>
  <c r="AG511" i="2"/>
  <c r="AG512" i="2"/>
  <c r="AG513" i="2"/>
  <c r="AG514" i="2"/>
  <c r="AG515" i="2"/>
  <c r="AG516" i="2"/>
  <c r="AG517" i="2"/>
  <c r="AG518" i="2"/>
  <c r="AG519" i="2"/>
  <c r="AG520" i="2"/>
  <c r="AG521" i="2"/>
  <c r="AG522" i="2"/>
  <c r="AG523" i="2"/>
  <c r="AG524" i="2"/>
  <c r="AG525" i="2"/>
  <c r="AG526" i="2"/>
  <c r="AG527" i="2"/>
  <c r="AG528" i="2"/>
  <c r="AG529" i="2"/>
  <c r="AG530" i="2"/>
  <c r="AG531" i="2"/>
  <c r="AG532" i="2"/>
  <c r="AG533" i="2"/>
  <c r="AG534" i="2"/>
  <c r="AG535" i="2"/>
  <c r="AG536" i="2"/>
  <c r="AG537" i="2"/>
  <c r="AG538" i="2"/>
  <c r="AG539" i="2"/>
  <c r="AG540" i="2"/>
  <c r="AG541" i="2"/>
  <c r="AG542" i="2"/>
  <c r="AG543" i="2"/>
  <c r="AG544" i="2"/>
  <c r="AG545" i="2"/>
  <c r="AG546" i="2"/>
  <c r="AG547" i="2"/>
  <c r="AG548" i="2"/>
  <c r="AG549" i="2"/>
  <c r="AG550" i="2"/>
  <c r="AG551" i="2"/>
  <c r="AG552" i="2"/>
  <c r="AG553" i="2"/>
  <c r="AG554" i="2"/>
  <c r="AG555" i="2"/>
  <c r="AG556" i="2"/>
  <c r="AG557" i="2"/>
  <c r="AG558" i="2"/>
  <c r="AG559" i="2"/>
  <c r="AG560" i="2"/>
  <c r="AG561" i="2"/>
  <c r="AG562" i="2"/>
  <c r="AG563" i="2"/>
  <c r="AG564" i="2"/>
  <c r="AG565" i="2"/>
  <c r="AG566" i="2"/>
  <c r="AG567" i="2"/>
  <c r="AG568" i="2"/>
  <c r="AG569" i="2"/>
  <c r="AG570" i="2"/>
  <c r="AG571" i="2"/>
  <c r="AG572" i="2"/>
  <c r="AG573" i="2"/>
  <c r="AG574" i="2"/>
  <c r="AG575" i="2"/>
  <c r="AG576" i="2"/>
  <c r="AG577" i="2"/>
  <c r="AG578" i="2"/>
  <c r="AG579" i="2"/>
  <c r="AG580" i="2"/>
  <c r="AG581" i="2"/>
  <c r="AG582" i="2"/>
  <c r="AG583" i="2"/>
  <c r="AG584" i="2"/>
  <c r="AG585" i="2"/>
  <c r="AG586" i="2"/>
  <c r="AG587" i="2"/>
  <c r="AG588" i="2"/>
  <c r="AG589" i="2"/>
  <c r="AG590" i="2"/>
  <c r="AG591" i="2"/>
  <c r="AG592" i="2"/>
  <c r="AG593" i="2"/>
  <c r="AG594" i="2"/>
  <c r="AG595" i="2"/>
  <c r="AG596" i="2"/>
  <c r="AG597" i="2"/>
  <c r="AG598" i="2"/>
  <c r="AG599" i="2"/>
  <c r="AG600" i="2"/>
  <c r="AG601" i="2"/>
  <c r="AG602" i="2"/>
  <c r="AG603" i="2"/>
  <c r="AG604" i="2"/>
  <c r="AG605" i="2"/>
  <c r="AG606" i="2"/>
  <c r="AG607" i="2"/>
  <c r="AG608" i="2"/>
  <c r="AG609" i="2"/>
  <c r="AG610" i="2"/>
  <c r="AG611" i="2"/>
  <c r="AG612" i="2"/>
  <c r="AG613" i="2"/>
  <c r="AG614" i="2"/>
  <c r="AG615" i="2"/>
  <c r="AG616" i="2"/>
  <c r="AG617" i="2"/>
  <c r="AG618" i="2"/>
  <c r="AG619" i="2"/>
  <c r="AG620" i="2"/>
  <c r="AG621" i="2"/>
  <c r="AG622" i="2"/>
  <c r="AG623" i="2"/>
  <c r="AG624" i="2"/>
  <c r="AG625" i="2"/>
  <c r="AG626" i="2"/>
  <c r="AG627" i="2"/>
  <c r="AG628" i="2"/>
  <c r="AG629" i="2"/>
  <c r="AG630" i="2"/>
  <c r="AG631" i="2"/>
  <c r="AG632" i="2"/>
  <c r="AG633" i="2"/>
  <c r="AG634" i="2"/>
  <c r="AG635" i="2"/>
  <c r="AG636" i="2"/>
  <c r="AG637" i="2"/>
  <c r="AG638" i="2"/>
  <c r="AG639" i="2"/>
  <c r="AG640" i="2"/>
  <c r="AG641" i="2"/>
  <c r="AG642" i="2"/>
  <c r="AG643" i="2"/>
  <c r="AG644" i="2"/>
  <c r="AG645" i="2"/>
  <c r="AG646" i="2"/>
  <c r="AG647" i="2"/>
  <c r="AG648" i="2"/>
  <c r="AG649" i="2"/>
  <c r="AG650" i="2"/>
  <c r="AG651" i="2"/>
  <c r="AG652" i="2"/>
  <c r="AG653" i="2"/>
  <c r="AG654" i="2"/>
  <c r="AG655" i="2"/>
  <c r="AG656" i="2"/>
  <c r="AG657" i="2"/>
  <c r="AG658" i="2"/>
  <c r="AG659" i="2"/>
  <c r="AG660" i="2"/>
  <c r="AG661" i="2"/>
  <c r="AG662" i="2"/>
  <c r="AG663" i="2"/>
  <c r="AG664" i="2"/>
  <c r="AG665" i="2"/>
  <c r="AG666" i="2"/>
  <c r="AG667" i="2"/>
  <c r="AG668" i="2"/>
  <c r="AG669" i="2"/>
  <c r="AG670" i="2"/>
  <c r="AG671" i="2"/>
  <c r="AG672" i="2"/>
  <c r="AG673" i="2"/>
  <c r="AG674" i="2"/>
  <c r="AG675" i="2"/>
  <c r="AG676" i="2"/>
  <c r="AG677" i="2"/>
  <c r="AG678" i="2"/>
  <c r="AG679" i="2"/>
  <c r="AG680" i="2"/>
  <c r="AG681" i="2"/>
  <c r="AG682" i="2"/>
  <c r="AG683" i="2"/>
  <c r="AG684" i="2"/>
  <c r="AG685" i="2"/>
  <c r="AG686" i="2"/>
  <c r="AG687" i="2"/>
  <c r="AG688" i="2"/>
  <c r="AG689" i="2"/>
  <c r="AG690" i="2"/>
  <c r="AG691" i="2"/>
  <c r="AG692" i="2"/>
  <c r="AG693" i="2"/>
  <c r="AG694" i="2"/>
  <c r="AG695" i="2"/>
  <c r="AG696" i="2"/>
  <c r="AG697" i="2"/>
  <c r="AG698" i="2"/>
  <c r="AG699" i="2"/>
  <c r="AG700" i="2"/>
  <c r="AG701" i="2"/>
  <c r="AG702" i="2"/>
  <c r="AG703" i="2"/>
  <c r="AG704" i="2"/>
  <c r="AG705" i="2"/>
  <c r="AG706" i="2"/>
  <c r="AG707" i="2"/>
  <c r="AG708" i="2"/>
  <c r="AG709" i="2"/>
  <c r="AG710" i="2"/>
  <c r="AG711" i="2"/>
  <c r="AG712" i="2"/>
  <c r="AG713" i="2"/>
  <c r="AG714" i="2"/>
  <c r="AG715" i="2"/>
  <c r="AG716" i="2"/>
  <c r="AG717" i="2"/>
  <c r="AG718" i="2"/>
  <c r="AG719" i="2"/>
  <c r="AG720" i="2"/>
  <c r="AG721" i="2"/>
  <c r="AG722" i="2"/>
  <c r="AG723" i="2"/>
  <c r="AG724" i="2"/>
  <c r="AG725" i="2"/>
  <c r="AG726" i="2"/>
  <c r="AG727" i="2"/>
  <c r="AG728" i="2"/>
  <c r="AG729" i="2"/>
  <c r="AG730" i="2"/>
  <c r="AG731" i="2"/>
  <c r="AG732" i="2"/>
  <c r="AG733" i="2"/>
  <c r="AG734" i="2"/>
  <c r="AG735" i="2"/>
  <c r="AG736" i="2"/>
  <c r="AG737" i="2"/>
  <c r="AG738" i="2"/>
  <c r="AG739" i="2"/>
  <c r="AG740" i="2"/>
  <c r="AG741" i="2"/>
  <c r="AG742" i="2"/>
  <c r="AG743" i="2"/>
  <c r="AG744" i="2"/>
  <c r="AG745" i="2"/>
  <c r="AG746" i="2"/>
  <c r="AG747" i="2"/>
  <c r="AG748" i="2"/>
  <c r="AG749" i="2"/>
  <c r="AG750" i="2"/>
  <c r="AG751" i="2"/>
  <c r="AG752" i="2"/>
  <c r="AG753" i="2"/>
  <c r="AG754" i="2"/>
  <c r="AG755" i="2"/>
  <c r="AG756" i="2"/>
  <c r="AG757" i="2"/>
  <c r="AG758" i="2"/>
  <c r="AG759" i="2"/>
  <c r="AG760" i="2"/>
  <c r="AG761" i="2"/>
  <c r="AG762" i="2"/>
  <c r="AG763" i="2"/>
  <c r="AG764" i="2"/>
  <c r="AG765" i="2"/>
  <c r="AG766" i="2"/>
  <c r="AG767" i="2"/>
  <c r="AG768" i="2"/>
  <c r="AG769" i="2"/>
  <c r="AG770" i="2"/>
  <c r="AG771" i="2"/>
  <c r="AG772" i="2"/>
  <c r="AG773" i="2"/>
  <c r="AG774" i="2"/>
  <c r="AG775" i="2"/>
  <c r="AG776" i="2"/>
  <c r="AG777" i="2"/>
  <c r="AG778" i="2"/>
  <c r="AG779" i="2"/>
  <c r="AG780" i="2"/>
  <c r="AG781" i="2"/>
  <c r="AG782" i="2"/>
  <c r="AG783" i="2"/>
  <c r="AG784" i="2"/>
  <c r="AG785" i="2"/>
  <c r="AG786" i="2"/>
  <c r="AG787" i="2"/>
  <c r="AG788" i="2"/>
  <c r="AG789" i="2"/>
  <c r="AG790" i="2"/>
  <c r="AG791" i="2"/>
  <c r="AG792" i="2"/>
  <c r="AG793" i="2"/>
  <c r="AG794" i="2"/>
  <c r="AG795" i="2"/>
  <c r="AG796" i="2"/>
  <c r="AG797" i="2"/>
  <c r="AG798" i="2"/>
  <c r="AG799" i="2"/>
  <c r="AG800" i="2"/>
  <c r="AG801" i="2"/>
  <c r="AG802" i="2"/>
  <c r="AG803" i="2"/>
  <c r="AG804" i="2"/>
  <c r="AG805" i="2"/>
  <c r="AG806" i="2"/>
  <c r="AG807" i="2"/>
  <c r="AG808" i="2"/>
  <c r="AG809" i="2"/>
  <c r="AG810" i="2"/>
  <c r="AG811" i="2"/>
  <c r="AG812" i="2"/>
  <c r="AG813" i="2"/>
  <c r="AG814" i="2"/>
  <c r="AG815" i="2"/>
  <c r="AG816" i="2"/>
  <c r="AG817" i="2"/>
  <c r="AG818" i="2"/>
  <c r="AG819" i="2"/>
  <c r="AG820" i="2"/>
  <c r="AG821" i="2"/>
  <c r="AG822" i="2"/>
  <c r="AG823" i="2"/>
  <c r="AG824" i="2"/>
  <c r="AG825" i="2"/>
  <c r="AG826" i="2"/>
  <c r="AG827" i="2"/>
  <c r="AG828" i="2"/>
  <c r="AG829" i="2"/>
  <c r="AG830" i="2"/>
  <c r="AG831" i="2"/>
  <c r="AG832" i="2"/>
  <c r="AG833" i="2"/>
  <c r="AG834" i="2"/>
  <c r="AG835" i="2"/>
  <c r="AG836" i="2"/>
  <c r="AG837" i="2"/>
  <c r="AG838" i="2"/>
  <c r="AG839" i="2"/>
  <c r="AG840" i="2"/>
  <c r="AG841" i="2"/>
  <c r="AG842" i="2"/>
  <c r="AG843" i="2"/>
  <c r="AG844" i="2"/>
  <c r="AG845" i="2"/>
  <c r="AG846" i="2"/>
  <c r="AG847" i="2"/>
  <c r="AG848" i="2"/>
  <c r="AG849" i="2"/>
  <c r="AG850" i="2"/>
  <c r="AG851" i="2"/>
  <c r="AG852" i="2"/>
  <c r="AG853" i="2"/>
  <c r="AG854" i="2"/>
  <c r="AG855" i="2"/>
  <c r="AG856" i="2"/>
  <c r="AG857" i="2"/>
  <c r="AG858" i="2"/>
  <c r="AG859" i="2"/>
  <c r="AG860" i="2"/>
  <c r="AG861" i="2"/>
  <c r="AG862" i="2"/>
  <c r="AG863" i="2"/>
  <c r="AG864" i="2"/>
  <c r="AG865" i="2"/>
  <c r="AG866" i="2"/>
  <c r="AG867" i="2"/>
  <c r="AG868" i="2"/>
  <c r="AG869" i="2"/>
  <c r="AG870" i="2"/>
  <c r="AG871" i="2"/>
  <c r="AG872" i="2"/>
  <c r="AG873" i="2"/>
  <c r="AG874" i="2"/>
  <c r="AG875" i="2"/>
  <c r="AG876" i="2"/>
  <c r="AG877" i="2"/>
  <c r="AG878" i="2"/>
  <c r="AG879" i="2"/>
  <c r="AG880" i="2"/>
  <c r="AG881" i="2"/>
  <c r="AG882" i="2"/>
  <c r="AG883" i="2"/>
  <c r="AG884" i="2"/>
  <c r="AG885" i="2"/>
  <c r="AG886" i="2"/>
  <c r="AG887" i="2"/>
  <c r="AG888" i="2"/>
  <c r="AG889" i="2"/>
  <c r="AG890" i="2"/>
  <c r="AG891" i="2"/>
  <c r="AG892" i="2"/>
  <c r="AG893" i="2"/>
  <c r="AG894" i="2"/>
  <c r="AG895" i="2"/>
  <c r="AG896" i="2"/>
  <c r="AG897" i="2"/>
  <c r="AG898" i="2"/>
  <c r="AG899" i="2"/>
  <c r="AG900" i="2"/>
  <c r="AG901" i="2"/>
  <c r="AG902" i="2"/>
  <c r="AG903" i="2"/>
  <c r="AG904" i="2"/>
  <c r="AG905" i="2"/>
  <c r="AG906" i="2"/>
  <c r="AG907" i="2"/>
  <c r="AG908" i="2"/>
  <c r="AG909" i="2"/>
  <c r="AG910" i="2"/>
  <c r="AG911" i="2"/>
  <c r="AG912" i="2"/>
  <c r="AG913" i="2"/>
  <c r="AG2" i="2"/>
</calcChain>
</file>

<file path=xl/sharedStrings.xml><?xml version="1.0" encoding="utf-8"?>
<sst xmlns="http://schemas.openxmlformats.org/spreadsheetml/2006/main" count="11915" uniqueCount="2776">
  <si>
    <t>order_id</t>
  </si>
  <si>
    <t>order_date_clean</t>
  </si>
  <si>
    <t>ship_date_clean</t>
  </si>
  <si>
    <t>customer_id</t>
  </si>
  <si>
    <t>customer_name_clean</t>
  </si>
  <si>
    <t>segment_clean</t>
  </si>
  <si>
    <t>region_clean</t>
  </si>
  <si>
    <t>state_clean</t>
  </si>
  <si>
    <t>city_clean</t>
  </si>
  <si>
    <t>category_clean</t>
  </si>
  <si>
    <t>sub_category_clean</t>
  </si>
  <si>
    <t>product_name</t>
  </si>
  <si>
    <t>ship_mode_clean</t>
  </si>
  <si>
    <t>quantity</t>
  </si>
  <si>
    <t>unit_price</t>
  </si>
  <si>
    <t>discount</t>
  </si>
  <si>
    <t>sales</t>
  </si>
  <si>
    <t>cost</t>
  </si>
  <si>
    <t>profit</t>
  </si>
  <si>
    <t>payment_status_clean</t>
  </si>
  <si>
    <t>order_status_clean</t>
  </si>
  <si>
    <t>shipping_date_validation</t>
  </si>
  <si>
    <t>shipping_delay_days</t>
  </si>
  <si>
    <t>Review_Status</t>
  </si>
  <si>
    <t>Region_Flag</t>
  </si>
  <si>
    <t>Shipping_mode_Flag</t>
  </si>
  <si>
    <t>Discount_Flag</t>
  </si>
  <si>
    <t>Discount_Validation</t>
  </si>
  <si>
    <t>Data_Quality_Flag</t>
  </si>
  <si>
    <t>cleaned_discount</t>
  </si>
  <si>
    <t>calculated_sales</t>
  </si>
  <si>
    <t>calculated_profit</t>
  </si>
  <si>
    <t>profit_margin</t>
  </si>
  <si>
    <t>order_month</t>
  </si>
  <si>
    <t>order_year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</si>
  <si>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</si>
  <si>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</si>
  <si>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</si>
  <si>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</si>
  <si>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</si>
  <si>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</si>
  <si>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</si>
  <si>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</si>
  <si>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</si>
  <si>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</si>
  <si>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</si>
  <si>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</si>
  <si>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</si>
  <si>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</si>
  <si>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</si>
  <si>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</si>
  <si>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</si>
  <si>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</si>
  <si>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</si>
  <si>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</si>
  <si>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</si>
  <si>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</si>
  <si>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</si>
  <si>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</si>
  <si>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</si>
  <si>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</si>
  <si>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</si>
  <si>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</si>
  <si>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</si>
  <si>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</si>
  <si>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</si>
  <si>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</si>
  <si>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</si>
  <si>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</si>
  <si>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</si>
  <si>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</si>
  <si>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</si>
  <si>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</si>
  <si>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</si>
  <si>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</si>
  <si>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</si>
  <si>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</si>
  <si>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</si>
  <si>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</si>
  <si>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</si>
  <si>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</si>
  <si>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</si>
  <si>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</si>
  <si>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</si>
  <si>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</si>
  <si>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</si>
  <si>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</si>
  <si>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</si>
  <si>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</si>
  <si>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</si>
  <si>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</si>
  <si>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</si>
  <si>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</si>
  <si>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</si>
  <si>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</si>
  <si>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</si>
  <si>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</si>
  <si>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</si>
  <si>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</si>
  <si>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</si>
  <si>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</si>
  <si>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</si>
  <si>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</si>
  <si>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</si>
  <si>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</si>
  <si>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</si>
  <si>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</si>
  <si>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</si>
  <si>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</si>
  <si>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</si>
  <si>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</si>
  <si>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</si>
  <si>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</si>
  <si>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</si>
  <si>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</si>
  <si>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</si>
  <si>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</si>
  <si>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</si>
  <si>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</si>
  <si>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</si>
  <si>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</si>
  <si>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</si>
  <si>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</si>
  <si>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</si>
  <si>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</si>
  <si>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</si>
  <si>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</si>
  <si>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</si>
  <si>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</si>
  <si>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</si>
  <si>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</si>
  <si>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</si>
  <si>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</si>
  <si>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</si>
  <si>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</si>
  <si>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</si>
  <si>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</si>
  <si>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</si>
  <si>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</si>
  <si>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</si>
  <si>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</si>
  <si>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</si>
  <si>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</si>
  <si>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</si>
  <si>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</si>
  <si>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</si>
  <si>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</si>
  <si>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</si>
  <si>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</si>
  <si>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</si>
  <si>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</si>
  <si>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</si>
  <si>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</si>
  <si>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</si>
  <si>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</si>
  <si>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</si>
  <si>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</si>
  <si>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</si>
  <si>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</si>
  <si>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</si>
  <si>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</si>
  <si>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</si>
  <si>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</si>
  <si>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</si>
  <si>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</si>
  <si>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</si>
  <si>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</si>
  <si>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</si>
  <si>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</si>
  <si>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</si>
  <si>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</si>
  <si>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</si>
  <si>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</si>
  <si>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</si>
  <si>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</si>
  <si>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</si>
  <si>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</si>
  <si>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</si>
  <si>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</si>
  <si>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</si>
  <si>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</si>
  <si>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</si>
  <si>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</si>
  <si>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</si>
  <si>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</si>
  <si>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</si>
  <si>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</si>
  <si>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</si>
  <si>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</si>
  <si>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</si>
  <si>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</si>
  <si>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</si>
  <si>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</si>
  <si>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</si>
  <si>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</si>
  <si>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</si>
  <si>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</si>
  <si>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</si>
  <si>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</si>
  <si>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</si>
  <si>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</si>
  <si>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</si>
  <si>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</si>
  <si>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</si>
  <si>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</si>
  <si>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</si>
  <si>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</si>
  <si>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</si>
  <si>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</si>
  <si>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</si>
  <si>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</si>
  <si>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</si>
  <si>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</si>
  <si>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</si>
  <si>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</si>
  <si>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</si>
  <si>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</si>
  <si>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</si>
  <si>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</si>
  <si>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Unknown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</si>
  <si>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</si>
  <si>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</si>
  <si>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</si>
  <si>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</si>
  <si>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</si>
  <si>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</si>
  <si>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</si>
  <si>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</si>
  <si>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</si>
  <si>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</si>
  <si>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</si>
  <si>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</si>
  <si>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</si>
  <si>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</si>
  <si>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</si>
  <si>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</si>
  <si>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</si>
  <si>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</si>
  <si>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</si>
  <si>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</si>
  <si>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</si>
  <si>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</si>
  <si>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</si>
  <si>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</si>
  <si>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</si>
  <si>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</si>
  <si>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</si>
  <si>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</si>
  <si>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</si>
  <si>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</si>
  <si>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</si>
  <si>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</si>
  <si>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</si>
  <si>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</si>
  <si>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</si>
  <si>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</si>
  <si>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</si>
  <si>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</si>
  <si>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</si>
  <si>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</si>
  <si>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</si>
  <si>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</si>
  <si>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</si>
  <si>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</si>
  <si>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</si>
  <si>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</si>
  <si>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</si>
  <si>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</si>
  <si>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</si>
  <si>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</si>
  <si>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</si>
  <si>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</si>
  <si>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</si>
  <si>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</si>
  <si>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</si>
  <si>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</si>
  <si>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</si>
  <si>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</si>
  <si>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</si>
  <si>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</si>
  <si>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</si>
  <si>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</si>
  <si>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</si>
  <si>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</si>
  <si>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</si>
  <si>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</si>
  <si>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</si>
  <si>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</si>
  <si>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</si>
  <si>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</si>
  <si>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</si>
  <si>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</si>
  <si>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</si>
  <si>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</si>
  <si>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</si>
  <si>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</si>
  <si>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</si>
  <si>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</si>
  <si>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</si>
  <si>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</si>
  <si>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</si>
  <si>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</si>
  <si>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</si>
  <si>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</si>
  <si>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</si>
  <si>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</si>
  <si>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</si>
  <si>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</si>
  <si>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</si>
  <si>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</si>
  <si>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</si>
  <si>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</si>
  <si>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</si>
  <si>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</si>
  <si>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</si>
  <si>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</si>
  <si>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</si>
  <si>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</si>
  <si>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</si>
  <si>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</si>
  <si>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</si>
  <si>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</si>
  <si>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</si>
  <si>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</si>
  <si>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</si>
  <si>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</si>
  <si>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</si>
  <si>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</si>
  <si>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</si>
  <si>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</si>
  <si>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</si>
  <si>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</si>
  <si>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</si>
  <si>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</si>
  <si>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</si>
  <si>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</si>
  <si>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</si>
  <si>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</si>
  <si>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</si>
  <si>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</si>
  <si>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</si>
  <si>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</si>
  <si>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</si>
  <si>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</si>
  <si>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</si>
  <si>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</si>
  <si>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</si>
  <si>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</si>
  <si>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</si>
  <si>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</si>
  <si>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</si>
  <si>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</si>
  <si>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</si>
  <si>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</si>
  <si>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</si>
  <si>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</si>
  <si>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</si>
  <si>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</si>
  <si>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</si>
  <si>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</si>
  <si>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</si>
  <si>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</si>
  <si>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</si>
  <si>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</si>
  <si>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</si>
  <si>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</si>
  <si>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</si>
  <si>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</si>
  <si>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</si>
  <si>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</si>
  <si>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</si>
  <si>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</si>
  <si>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</si>
  <si>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</si>
  <si>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</si>
  <si>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</si>
  <si>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</si>
  <si>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</si>
  <si>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</si>
  <si>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</si>
  <si>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</si>
  <si>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</si>
  <si>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</si>
  <si>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</si>
  <si>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</si>
  <si>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</si>
  <si>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</si>
  <si>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</si>
  <si>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</si>
  <si>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</si>
  <si>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</si>
  <si>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</si>
  <si>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</si>
  <si>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</si>
  <si>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</si>
  <si>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</si>
  <si>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</si>
  <si>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</si>
  <si>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Flagged for Review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</si>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</sst>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1EB99-DCA9-4498-ACA6-E180944D162A}">
  <dimension ref="A1:AI913"/>
  <sheetViews>
    <sheetView tabSelected="1" topLeftCell="A908" workbookViewId="0">
      <selection activeCell="C917" sqref="C917"/>
    </sheetView>
  </sheetViews>
  <sheetFormatPr defaultRowHeight="15"/>
  <cols>
    <col min="1" max="1" width="15.85546875" bestFit="1" customWidth="1"/>
    <col min="2" max="2" width="16.42578125" bestFit="1" customWidth="1"/>
    <col min="3" max="3" width="15.140625" bestFit="1" customWidth="1"/>
    <col min="4" max="4" width="13" customWidth="1"/>
    <col min="5" max="5" width="20.7109375" bestFit="1" customWidth="1"/>
    <col min="6" max="6" width="14.140625" bestFit="1" customWidth="1"/>
    <col min="7" max="7" width="14.140625" customWidth="1"/>
    <col min="8" max="8" width="15.42578125" bestFit="1" customWidth="1"/>
    <col min="9" max="9" width="12.7109375" bestFit="1" customWidth="1"/>
    <col min="10" max="10" width="14.140625" bestFit="1" customWidth="1"/>
    <col min="11" max="11" width="18.28515625" bestFit="1" customWidth="1"/>
    <col min="12" max="12" width="20.85546875" bestFit="1" customWidth="1"/>
    <col min="13" max="13" width="16.28515625" bestFit="1" customWidth="1"/>
    <col min="15" max="15" width="12.140625" customWidth="1"/>
    <col min="20" max="20" width="20.5703125" bestFit="1" customWidth="1"/>
    <col min="21" max="21" width="20.85546875" customWidth="1"/>
    <col min="22" max="22" width="26.85546875" customWidth="1"/>
    <col min="23" max="23" width="24" customWidth="1"/>
    <col min="24" max="24" width="17.28515625" bestFit="1" customWidth="1"/>
    <col min="25" max="25" width="14" bestFit="1" customWidth="1"/>
    <col min="26" max="26" width="23.42578125" customWidth="1"/>
    <col min="27" max="27" width="19" customWidth="1"/>
    <col min="28" max="28" width="24.42578125" customWidth="1"/>
    <col min="29" max="29" width="22.85546875" customWidth="1"/>
    <col min="30" max="30" width="16.140625" bestFit="1" customWidth="1"/>
    <col min="31" max="31" width="18.140625" customWidth="1"/>
    <col min="32" max="32" width="19.85546875" customWidth="1"/>
    <col min="33" max="33" width="17.140625" style="3" customWidth="1"/>
    <col min="34" max="34" width="17.7109375" customWidth="1"/>
    <col min="35" max="35" width="15.7109375" customWidth="1"/>
  </cols>
  <sheetData>
    <row r="1" spans="1:35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s="2">
        <v>45494</v>
      </c>
      <c r="C2" s="2">
        <v>45500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46</v>
      </c>
      <c r="U2" t="s">
        <v>47</v>
      </c>
      <c r="V2" t="str">
        <f>IF(C2&lt;B2,"Invalid Shipping","Valid")</f>
        <v>Valid</v>
      </c>
      <c r="W2">
        <f>C2-B2</f>
        <v>6</v>
      </c>
      <c r="Y2" t="str">
        <f>IF(G2="Unknown","Missing Region","OK")</f>
        <v>OK</v>
      </c>
      <c r="Z2" t="str">
        <f>IF(M2="Unknown","Missing Ship Mode","OK")</f>
        <v>OK</v>
      </c>
      <c r="AA2" t="str">
        <f>IF(P2="","Missing Discount","OK")</f>
        <v>OK</v>
      </c>
      <c r="AB2" t="str">
        <f>IF(OR(P2&lt;0,P2&gt;1),"Invalid Discount","Valid")</f>
        <v>Valid</v>
      </c>
      <c r="AC2" t="str">
        <f>IF(OR(AB2="Invalid Discount",V2="Invalid Shipping"),
"Invalid",
IF(OR(Y2="Missing Region",
Z2="Missing Ship Mode",
AA2="Missing Discount",
X2="Flagged for Review"),
"Warning",
"Clean"))</f>
        <v>Clean</v>
      </c>
      <c r="AD2">
        <f>IF(P2="",0,P2)</f>
        <v>0.2</v>
      </c>
      <c r="AE2">
        <f>N2*O2*(1-AD2)</f>
        <v>19049.28</v>
      </c>
      <c r="AF2">
        <f>AE2-R2</f>
        <v>3207.3899999999994</v>
      </c>
      <c r="AG2" s="3">
        <f>IF(AE2=0,0,AF2/AE2)</f>
        <v>0.16837329284886357</v>
      </c>
      <c r="AH2" t="str">
        <f>TEXT(B2,"mmmm")</f>
        <v>July</v>
      </c>
      <c r="AI2">
        <f>YEAR(B2)</f>
        <v>2024</v>
      </c>
    </row>
    <row r="3" spans="1:35">
      <c r="A3" t="s">
        <v>48</v>
      </c>
      <c r="B3" s="2">
        <v>45535</v>
      </c>
      <c r="C3" s="2">
        <v>45540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46</v>
      </c>
      <c r="U3" t="s">
        <v>47</v>
      </c>
      <c r="V3" t="str">
        <f t="shared" ref="V3:V66" si="0">IF(C3&lt;B3,"Invalid Shipping","Valid")</f>
        <v>Valid</v>
      </c>
      <c r="W3">
        <f t="shared" ref="W3:W66" si="1">C3-B3</f>
        <v>5</v>
      </c>
      <c r="Y3" t="str">
        <f t="shared" ref="Y3:Y66" si="2">IF(G3="Unknown","Missing Region","OK")</f>
        <v>OK</v>
      </c>
      <c r="Z3" t="str">
        <f t="shared" ref="Z3:Z66" si="3">IF(M3="Unknown","Missing Ship Mode","OK")</f>
        <v>OK</v>
      </c>
      <c r="AA3" t="str">
        <f t="shared" ref="AA3:AA66" si="4">IF(P3="","Missing Discount","OK")</f>
        <v>OK</v>
      </c>
      <c r="AB3" t="str">
        <f>IF(OR(P3&lt;0,P3&gt;1),"Invalid Discount","Valid")</f>
        <v>Valid</v>
      </c>
      <c r="AC3" t="str">
        <f>IF(OR(AB3="Invalid Discount",V3="Invalid Shipping"),
"Invalid",
IF(OR(Y3="Missing Region",
Z3="Missing Ship Mode",
AA3="Missing Discount",
X3="Flagged for Review"),
"Warning",
"Clean"))</f>
        <v>Clean</v>
      </c>
      <c r="AD3">
        <f t="shared" ref="AD3:AD66" si="5">IF(P3="",0,P3)</f>
        <v>0</v>
      </c>
      <c r="AE3">
        <f>N3*O3*(1-AD3)</f>
        <v>7312.5</v>
      </c>
      <c r="AF3">
        <f>AE3-R3</f>
        <v>2407.7700000000004</v>
      </c>
      <c r="AG3" s="3">
        <f t="shared" ref="AG3:AG66" si="6">IF(AE3=0,0,AF3/AE3)</f>
        <v>0.32926769230769237</v>
      </c>
      <c r="AH3" t="str">
        <f t="shared" ref="AH3:AH66" si="7">TEXT(B3,"mmmm")</f>
        <v>August</v>
      </c>
      <c r="AI3">
        <f t="shared" ref="AI3:AI66" si="8">YEAR(B3)</f>
        <v>2024</v>
      </c>
    </row>
    <row r="4" spans="1:35">
      <c r="A4" t="s">
        <v>59</v>
      </c>
      <c r="B4" s="2">
        <v>45451</v>
      </c>
      <c r="C4" s="2">
        <v>45458</v>
      </c>
      <c r="D4" t="s">
        <v>60</v>
      </c>
      <c r="E4" t="s">
        <v>61</v>
      </c>
      <c r="F4" t="s">
        <v>38</v>
      </c>
      <c r="G4" t="s">
        <v>52</v>
      </c>
      <c r="H4" t="s">
        <v>53</v>
      </c>
      <c r="I4" t="s">
        <v>54</v>
      </c>
      <c r="J4" t="s">
        <v>42</v>
      </c>
      <c r="K4" t="s">
        <v>62</v>
      </c>
      <c r="L4" t="s">
        <v>63</v>
      </c>
      <c r="M4" t="s">
        <v>64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46</v>
      </c>
      <c r="U4" t="s">
        <v>47</v>
      </c>
      <c r="V4" t="str">
        <f t="shared" si="0"/>
        <v>Valid</v>
      </c>
      <c r="W4">
        <f t="shared" si="1"/>
        <v>7</v>
      </c>
      <c r="Y4" t="str">
        <f t="shared" si="2"/>
        <v>OK</v>
      </c>
      <c r="Z4" t="str">
        <f t="shared" si="3"/>
        <v>OK</v>
      </c>
      <c r="AA4" t="str">
        <f t="shared" si="4"/>
        <v>OK</v>
      </c>
      <c r="AB4" t="str">
        <f>IF(OR(P4&lt;0,P4&gt;1),"Invalid Discount","Valid")</f>
        <v>Valid</v>
      </c>
      <c r="AC4" t="str">
        <f>IF(OR(AB4="Invalid Discount",V4="Invalid Shipping"),
"Invalid",
IF(OR(Y4="Missing Region",
Z4="Missing Ship Mode",
AA4="Missing Discount",
X4="Flagged for Review"),
"Warning",
"Clean"))</f>
        <v>Clean</v>
      </c>
      <c r="AD4">
        <f t="shared" si="5"/>
        <v>0.55000000000000004</v>
      </c>
      <c r="AE4">
        <f>N4*O4*(1-AD4)</f>
        <v>1917.7739999999999</v>
      </c>
      <c r="AF4">
        <f>AE4-R4</f>
        <v>-547.91600000000017</v>
      </c>
      <c r="AG4" s="3">
        <f t="shared" si="6"/>
        <v>-0.28570415492127865</v>
      </c>
      <c r="AH4" t="str">
        <f t="shared" si="7"/>
        <v>June</v>
      </c>
      <c r="AI4">
        <f t="shared" si="8"/>
        <v>2024</v>
      </c>
    </row>
    <row r="5" spans="1:35">
      <c r="A5" t="s">
        <v>65</v>
      </c>
      <c r="B5" s="2">
        <v>45624</v>
      </c>
      <c r="C5" s="2">
        <v>45625</v>
      </c>
      <c r="D5" t="s">
        <v>66</v>
      </c>
      <c r="E5" t="s">
        <v>67</v>
      </c>
      <c r="F5" t="s">
        <v>51</v>
      </c>
      <c r="G5" t="s">
        <v>68</v>
      </c>
      <c r="H5" t="s">
        <v>69</v>
      </c>
      <c r="I5" t="s">
        <v>70</v>
      </c>
      <c r="J5" t="s">
        <v>55</v>
      </c>
      <c r="K5" t="s">
        <v>71</v>
      </c>
      <c r="L5" t="s">
        <v>72</v>
      </c>
      <c r="M5" t="s">
        <v>73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46</v>
      </c>
      <c r="U5" t="s">
        <v>47</v>
      </c>
      <c r="V5" t="str">
        <f t="shared" si="0"/>
        <v>Valid</v>
      </c>
      <c r="W5">
        <f t="shared" si="1"/>
        <v>1</v>
      </c>
      <c r="Y5" t="str">
        <f t="shared" si="2"/>
        <v>OK</v>
      </c>
      <c r="Z5" t="str">
        <f t="shared" si="3"/>
        <v>OK</v>
      </c>
      <c r="AA5" t="str">
        <f t="shared" si="4"/>
        <v>OK</v>
      </c>
      <c r="AB5" t="str">
        <f>IF(OR(P5&lt;0,P5&gt;1),"Invalid Discount","Valid")</f>
        <v>Valid</v>
      </c>
      <c r="AC5" t="str">
        <f>IF(OR(AB5="Invalid Discount",V5="Invalid Shipping"),
"Invalid",
IF(OR(Y5="Missing Region",
Z5="Missing Ship Mode",
AA5="Missing Discount",
X5="Flagged for Review"),
"Warning",
"Clean"))</f>
        <v>Clean</v>
      </c>
      <c r="AD5">
        <f t="shared" si="5"/>
        <v>0.25</v>
      </c>
      <c r="AE5">
        <f>N5*O5*(1-AD5)</f>
        <v>8317.9349999999995</v>
      </c>
      <c r="AF5">
        <f>AE5-R5</f>
        <v>1521.1649999999991</v>
      </c>
      <c r="AG5" s="3">
        <f t="shared" si="6"/>
        <v>0.18287772145370204</v>
      </c>
      <c r="AH5" t="str">
        <f t="shared" si="7"/>
        <v>November</v>
      </c>
      <c r="AI5">
        <f t="shared" si="8"/>
        <v>2024</v>
      </c>
    </row>
    <row r="6" spans="1:35">
      <c r="A6" t="s">
        <v>74</v>
      </c>
      <c r="B6" s="2">
        <v>45898</v>
      </c>
      <c r="C6" s="2">
        <v>45901</v>
      </c>
      <c r="D6" t="s">
        <v>75</v>
      </c>
      <c r="E6" t="s">
        <v>76</v>
      </c>
      <c r="F6" t="s">
        <v>51</v>
      </c>
      <c r="G6" t="s">
        <v>77</v>
      </c>
      <c r="H6" t="s">
        <v>78</v>
      </c>
      <c r="I6" t="s">
        <v>79</v>
      </c>
      <c r="J6" t="s">
        <v>55</v>
      </c>
      <c r="K6" t="s">
        <v>80</v>
      </c>
      <c r="L6" t="s">
        <v>81</v>
      </c>
      <c r="M6" t="s">
        <v>64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46</v>
      </c>
      <c r="U6" t="s">
        <v>82</v>
      </c>
      <c r="V6" t="str">
        <f t="shared" si="0"/>
        <v>Valid</v>
      </c>
      <c r="W6">
        <f t="shared" si="1"/>
        <v>3</v>
      </c>
      <c r="Y6" t="str">
        <f t="shared" si="2"/>
        <v>OK</v>
      </c>
      <c r="Z6" t="str">
        <f t="shared" si="3"/>
        <v>OK</v>
      </c>
      <c r="AA6" t="str">
        <f t="shared" si="4"/>
        <v>OK</v>
      </c>
      <c r="AB6" t="str">
        <f>IF(OR(P6&lt;0,P6&gt;1),"Invalid Discount","Valid")</f>
        <v>Valid</v>
      </c>
      <c r="AC6" t="str">
        <f>IF(OR(AB6="Invalid Discount",V6="Invalid Shipping"),
"Invalid",
IF(OR(Y6="Missing Region",
Z6="Missing Ship Mode",
AA6="Missing Discount",
X6="Flagged for Review"),
"Warning",
"Clean"))</f>
        <v>Clean</v>
      </c>
      <c r="AD6">
        <f t="shared" si="5"/>
        <v>0</v>
      </c>
      <c r="AE6">
        <f>N6*O6*(1-AD6)</f>
        <v>20816.32</v>
      </c>
      <c r="AF6">
        <f>AE6-R6</f>
        <v>3110.9500000000007</v>
      </c>
      <c r="AG6" s="3">
        <f t="shared" si="6"/>
        <v>0.14944764492475138</v>
      </c>
      <c r="AH6" t="str">
        <f t="shared" si="7"/>
        <v>August</v>
      </c>
      <c r="AI6">
        <f t="shared" si="8"/>
        <v>2025</v>
      </c>
    </row>
    <row r="7" spans="1:35">
      <c r="A7" t="s">
        <v>83</v>
      </c>
      <c r="B7" s="2">
        <v>45436</v>
      </c>
      <c r="C7" s="2">
        <v>45440</v>
      </c>
      <c r="D7" t="s">
        <v>84</v>
      </c>
      <c r="E7" t="s">
        <v>85</v>
      </c>
      <c r="F7" t="s">
        <v>51</v>
      </c>
      <c r="G7" t="s">
        <v>77</v>
      </c>
      <c r="H7" t="s">
        <v>86</v>
      </c>
      <c r="I7" t="s">
        <v>87</v>
      </c>
      <c r="J7" t="s">
        <v>88</v>
      </c>
      <c r="K7" t="s">
        <v>89</v>
      </c>
      <c r="L7" t="s">
        <v>90</v>
      </c>
      <c r="M7" t="s">
        <v>58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46</v>
      </c>
      <c r="U7" t="s">
        <v>47</v>
      </c>
      <c r="V7" t="str">
        <f t="shared" si="0"/>
        <v>Valid</v>
      </c>
      <c r="W7">
        <f t="shared" si="1"/>
        <v>4</v>
      </c>
      <c r="Y7" t="str">
        <f t="shared" si="2"/>
        <v>OK</v>
      </c>
      <c r="Z7" t="str">
        <f t="shared" si="3"/>
        <v>OK</v>
      </c>
      <c r="AA7" t="str">
        <f t="shared" si="4"/>
        <v>OK</v>
      </c>
      <c r="AB7" t="str">
        <f>IF(OR(P7&lt;0,P7&gt;1),"Invalid Discount","Valid")</f>
        <v>Valid</v>
      </c>
      <c r="AC7" t="str">
        <f>IF(OR(AB7="Invalid Discount",V7="Invalid Shipping"),
"Invalid",
IF(OR(Y7="Missing Region",
Z7="Missing Ship Mode",
AA7="Missing Discount",
X7="Flagged for Review"),
"Warning",
"Clean"))</f>
        <v>Clean</v>
      </c>
      <c r="AD7">
        <f t="shared" si="5"/>
        <v>0.2</v>
      </c>
      <c r="AE7">
        <f>N7*O7*(1-AD7)</f>
        <v>2527.4639999999999</v>
      </c>
      <c r="AF7">
        <f>AE7-R7</f>
        <v>993.88400000000001</v>
      </c>
      <c r="AG7" s="3">
        <f t="shared" si="6"/>
        <v>0.39323369195367375</v>
      </c>
      <c r="AH7" t="str">
        <f t="shared" si="7"/>
        <v>May</v>
      </c>
      <c r="AI7">
        <f t="shared" si="8"/>
        <v>2024</v>
      </c>
    </row>
    <row r="8" spans="1:35">
      <c r="A8" t="s">
        <v>91</v>
      </c>
      <c r="B8" s="2">
        <v>45757</v>
      </c>
      <c r="C8" s="2">
        <v>45763</v>
      </c>
      <c r="D8" t="s">
        <v>92</v>
      </c>
      <c r="E8" t="s">
        <v>93</v>
      </c>
      <c r="F8" t="s">
        <v>38</v>
      </c>
      <c r="G8" t="s">
        <v>52</v>
      </c>
      <c r="H8" t="s">
        <v>53</v>
      </c>
      <c r="I8" t="s">
        <v>54</v>
      </c>
      <c r="J8" t="s">
        <v>88</v>
      </c>
      <c r="K8" t="s">
        <v>94</v>
      </c>
      <c r="L8" t="s">
        <v>95</v>
      </c>
      <c r="M8" t="s">
        <v>73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46</v>
      </c>
      <c r="U8" t="s">
        <v>47</v>
      </c>
      <c r="V8" t="str">
        <f t="shared" si="0"/>
        <v>Valid</v>
      </c>
      <c r="W8">
        <f t="shared" si="1"/>
        <v>6</v>
      </c>
      <c r="Y8" t="str">
        <f t="shared" si="2"/>
        <v>OK</v>
      </c>
      <c r="Z8" t="str">
        <f t="shared" si="3"/>
        <v>OK</v>
      </c>
      <c r="AA8" t="str">
        <f t="shared" si="4"/>
        <v>OK</v>
      </c>
      <c r="AB8" t="str">
        <f>IF(OR(P8&lt;0,P8&gt;1),"Invalid Discount","Valid")</f>
        <v>Valid</v>
      </c>
      <c r="AC8" t="str">
        <f>IF(OR(AB8="Invalid Discount",V8="Invalid Shipping"),
"Invalid",
IF(OR(Y8="Missing Region",
Z8="Missing Ship Mode",
AA8="Missing Discount",
X8="Flagged for Review"),
"Warning",
"Clean"))</f>
        <v>Clean</v>
      </c>
      <c r="AD8">
        <f t="shared" si="5"/>
        <v>0.15</v>
      </c>
      <c r="AE8">
        <f>N8*O8*(1-AD8)</f>
        <v>5847.5579999999991</v>
      </c>
      <c r="AF8">
        <f>AE8-R8</f>
        <v>1120.3079999999991</v>
      </c>
      <c r="AG8" s="3">
        <f t="shared" si="6"/>
        <v>0.19158561573908275</v>
      </c>
      <c r="AH8" t="str">
        <f t="shared" si="7"/>
        <v>April</v>
      </c>
      <c r="AI8">
        <f t="shared" si="8"/>
        <v>2025</v>
      </c>
    </row>
    <row r="9" spans="1:35">
      <c r="A9" t="s">
        <v>96</v>
      </c>
      <c r="B9" s="2">
        <v>45711</v>
      </c>
      <c r="C9" s="2">
        <v>45714</v>
      </c>
      <c r="D9" t="s">
        <v>97</v>
      </c>
      <c r="E9" t="s">
        <v>61</v>
      </c>
      <c r="F9" t="s">
        <v>51</v>
      </c>
      <c r="G9" t="s">
        <v>68</v>
      </c>
      <c r="H9" t="s">
        <v>98</v>
      </c>
      <c r="I9" t="s">
        <v>99</v>
      </c>
      <c r="J9" t="s">
        <v>42</v>
      </c>
      <c r="K9" t="s">
        <v>62</v>
      </c>
      <c r="L9" t="s">
        <v>100</v>
      </c>
      <c r="M9" t="s">
        <v>64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46</v>
      </c>
      <c r="U9" t="s">
        <v>47</v>
      </c>
      <c r="V9" t="str">
        <f t="shared" si="0"/>
        <v>Valid</v>
      </c>
      <c r="W9">
        <f t="shared" si="1"/>
        <v>3</v>
      </c>
      <c r="Y9" t="str">
        <f t="shared" si="2"/>
        <v>OK</v>
      </c>
      <c r="Z9" t="str">
        <f t="shared" si="3"/>
        <v>OK</v>
      </c>
      <c r="AA9" t="str">
        <f t="shared" si="4"/>
        <v>OK</v>
      </c>
      <c r="AB9" t="str">
        <f>IF(OR(P9&lt;0,P9&gt;1),"Invalid Discount","Valid")</f>
        <v>Valid</v>
      </c>
      <c r="AC9" t="str">
        <f>IF(OR(AB9="Invalid Discount",V9="Invalid Shipping"),
"Invalid",
IF(OR(Y9="Missing Region",
Z9="Missing Ship Mode",
AA9="Missing Discount",
X9="Flagged for Review"),
"Warning",
"Clean"))</f>
        <v>Clean</v>
      </c>
      <c r="AD9">
        <f t="shared" si="5"/>
        <v>0</v>
      </c>
      <c r="AE9">
        <f>N9*O9*(1-AD9)</f>
        <v>2980.71</v>
      </c>
      <c r="AF9">
        <f>AE9-R9</f>
        <v>623.49000000000024</v>
      </c>
      <c r="AG9" s="3">
        <f t="shared" si="6"/>
        <v>0.20917499521925992</v>
      </c>
      <c r="AH9" t="str">
        <f t="shared" si="7"/>
        <v>February</v>
      </c>
      <c r="AI9">
        <f t="shared" si="8"/>
        <v>2025</v>
      </c>
    </row>
    <row r="10" spans="1:35">
      <c r="A10" t="s">
        <v>101</v>
      </c>
      <c r="B10" s="2">
        <v>45601</v>
      </c>
      <c r="C10" s="2">
        <v>45606</v>
      </c>
      <c r="D10" t="s">
        <v>102</v>
      </c>
      <c r="E10" t="s">
        <v>103</v>
      </c>
      <c r="F10" t="s">
        <v>104</v>
      </c>
      <c r="G10" t="s">
        <v>68</v>
      </c>
      <c r="H10" t="s">
        <v>69</v>
      </c>
      <c r="I10" t="s">
        <v>70</v>
      </c>
      <c r="J10" t="s">
        <v>42</v>
      </c>
      <c r="K10" t="s">
        <v>105</v>
      </c>
      <c r="L10" t="s">
        <v>106</v>
      </c>
      <c r="M10" t="s">
        <v>64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46</v>
      </c>
      <c r="U10" t="s">
        <v>47</v>
      </c>
      <c r="V10" t="str">
        <f t="shared" si="0"/>
        <v>Valid</v>
      </c>
      <c r="W10">
        <f t="shared" si="1"/>
        <v>5</v>
      </c>
      <c r="Y10" t="str">
        <f t="shared" si="2"/>
        <v>OK</v>
      </c>
      <c r="Z10" t="str">
        <f t="shared" si="3"/>
        <v>OK</v>
      </c>
      <c r="AA10" t="str">
        <f t="shared" si="4"/>
        <v>OK</v>
      </c>
      <c r="AB10" t="str">
        <f>IF(OR(P10&lt;0,P10&gt;1),"Invalid Discount","Valid")</f>
        <v>Valid</v>
      </c>
      <c r="AC10" t="str">
        <f>IF(OR(AB10="Invalid Discount",V10="Invalid Shipping"),
"Invalid",
IF(OR(Y10="Missing Region",
Z10="Missing Ship Mode",
AA10="Missing Discount",
X10="Flagged for Review"),
"Warning",
"Clean"))</f>
        <v>Clean</v>
      </c>
      <c r="AD10">
        <f t="shared" si="5"/>
        <v>0</v>
      </c>
      <c r="AE10">
        <f>N10*O10*(1-AD10)</f>
        <v>25073.599999999999</v>
      </c>
      <c r="AF10">
        <f>AE10-R10</f>
        <v>7726.369999999999</v>
      </c>
      <c r="AG10" s="3">
        <f t="shared" si="6"/>
        <v>0.30814761342607361</v>
      </c>
      <c r="AH10" t="str">
        <f t="shared" si="7"/>
        <v>November</v>
      </c>
      <c r="AI10">
        <f t="shared" si="8"/>
        <v>2024</v>
      </c>
    </row>
    <row r="11" spans="1:35">
      <c r="A11" t="s">
        <v>107</v>
      </c>
      <c r="B11" s="2">
        <v>45907</v>
      </c>
      <c r="C11" s="2">
        <v>45912</v>
      </c>
      <c r="D11" t="s">
        <v>108</v>
      </c>
      <c r="E11" t="s">
        <v>50</v>
      </c>
      <c r="F11" t="s">
        <v>109</v>
      </c>
      <c r="G11" t="s">
        <v>68</v>
      </c>
      <c r="H11" t="s">
        <v>69</v>
      </c>
      <c r="I11" t="s">
        <v>70</v>
      </c>
      <c r="J11" t="s">
        <v>42</v>
      </c>
      <c r="K11" t="s">
        <v>43</v>
      </c>
      <c r="L11" t="s">
        <v>110</v>
      </c>
      <c r="M11" t="s">
        <v>45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46</v>
      </c>
      <c r="U11" t="s">
        <v>47</v>
      </c>
      <c r="V11" t="str">
        <f t="shared" si="0"/>
        <v>Valid</v>
      </c>
      <c r="W11">
        <f t="shared" si="1"/>
        <v>5</v>
      </c>
      <c r="Y11" t="str">
        <f t="shared" si="2"/>
        <v>OK</v>
      </c>
      <c r="Z11" t="str">
        <f t="shared" si="3"/>
        <v>OK</v>
      </c>
      <c r="AA11" t="str">
        <f t="shared" si="4"/>
        <v>OK</v>
      </c>
      <c r="AB11" t="str">
        <f>IF(OR(P11&lt;0,P11&gt;1),"Invalid Discount","Valid")</f>
        <v>Valid</v>
      </c>
      <c r="AC11" t="str">
        <f>IF(OR(AB11="Invalid Discount",V11="Invalid Shipping"),
"Invalid",
IF(OR(Y11="Missing Region",
Z11="Missing Ship Mode",
AA11="Missing Discount",
X11="Flagged for Review"),
"Warning",
"Clean"))</f>
        <v>Clean</v>
      </c>
      <c r="AD11">
        <f t="shared" si="5"/>
        <v>0.2</v>
      </c>
      <c r="AE11">
        <f>N11*O11*(1-AD11)</f>
        <v>6134.6880000000001</v>
      </c>
      <c r="AF11">
        <f>AE11-R11</f>
        <v>2334.498</v>
      </c>
      <c r="AG11" s="3">
        <f t="shared" si="6"/>
        <v>0.38054062407085737</v>
      </c>
      <c r="AH11" t="str">
        <f t="shared" si="7"/>
        <v>September</v>
      </c>
      <c r="AI11">
        <f t="shared" si="8"/>
        <v>2025</v>
      </c>
    </row>
    <row r="12" spans="1:35">
      <c r="A12" t="s">
        <v>111</v>
      </c>
      <c r="B12" s="2">
        <v>45797</v>
      </c>
      <c r="C12" s="2">
        <v>45797</v>
      </c>
      <c r="D12" t="s">
        <v>112</v>
      </c>
      <c r="E12" t="s">
        <v>76</v>
      </c>
      <c r="F12" t="s">
        <v>104</v>
      </c>
      <c r="G12" t="s">
        <v>52</v>
      </c>
      <c r="H12" t="s">
        <v>113</v>
      </c>
      <c r="I12" t="s">
        <v>114</v>
      </c>
      <c r="J12" t="s">
        <v>42</v>
      </c>
      <c r="K12" t="s">
        <v>105</v>
      </c>
      <c r="L12" t="s">
        <v>115</v>
      </c>
      <c r="M12" t="s">
        <v>45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116</v>
      </c>
      <c r="U12" t="s">
        <v>117</v>
      </c>
      <c r="V12" t="str">
        <f t="shared" si="0"/>
        <v>Valid</v>
      </c>
      <c r="W12">
        <f t="shared" si="1"/>
        <v>0</v>
      </c>
      <c r="Y12" t="str">
        <f t="shared" si="2"/>
        <v>OK</v>
      </c>
      <c r="Z12" t="str">
        <f t="shared" si="3"/>
        <v>OK</v>
      </c>
      <c r="AA12" t="str">
        <f t="shared" si="4"/>
        <v>OK</v>
      </c>
      <c r="AB12" t="str">
        <f>IF(OR(P12&lt;0,P12&gt;1),"Invalid Discount","Valid")</f>
        <v>Valid</v>
      </c>
      <c r="AC12" t="str">
        <f>IF(OR(AB12="Invalid Discount",V12="Invalid Shipping"),
"Invalid",
IF(OR(Y12="Missing Region",
Z12="Missing Ship Mode",
AA12="Missing Discount",
X12="Flagged for Review"),
"Warning",
"Clean"))</f>
        <v>Clean</v>
      </c>
      <c r="AD12">
        <f t="shared" si="5"/>
        <v>0.05</v>
      </c>
      <c r="AE12">
        <f>N12*O12*(1-AD12)</f>
        <v>10074.2655</v>
      </c>
      <c r="AF12">
        <f>AE12-R12</f>
        <v>4025.9954999999991</v>
      </c>
      <c r="AG12" s="3">
        <f t="shared" si="6"/>
        <v>0.39963166545491574</v>
      </c>
      <c r="AH12" t="str">
        <f t="shared" si="7"/>
        <v>May</v>
      </c>
      <c r="AI12">
        <f t="shared" si="8"/>
        <v>2025</v>
      </c>
    </row>
    <row r="13" spans="1:35">
      <c r="A13" t="s">
        <v>118</v>
      </c>
      <c r="B13" s="2">
        <v>45495</v>
      </c>
      <c r="C13" s="2">
        <v>45496</v>
      </c>
      <c r="D13" t="s">
        <v>119</v>
      </c>
      <c r="E13" t="s">
        <v>85</v>
      </c>
      <c r="F13" t="s">
        <v>51</v>
      </c>
      <c r="G13" t="s">
        <v>52</v>
      </c>
      <c r="H13" t="s">
        <v>53</v>
      </c>
      <c r="I13" t="s">
        <v>54</v>
      </c>
      <c r="J13" t="s">
        <v>88</v>
      </c>
      <c r="K13" t="s">
        <v>89</v>
      </c>
      <c r="L13" t="s">
        <v>120</v>
      </c>
      <c r="M13" t="s">
        <v>58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46</v>
      </c>
      <c r="U13" t="s">
        <v>47</v>
      </c>
      <c r="V13" t="str">
        <f t="shared" si="0"/>
        <v>Valid</v>
      </c>
      <c r="W13">
        <f t="shared" si="1"/>
        <v>1</v>
      </c>
      <c r="Y13" t="str">
        <f t="shared" si="2"/>
        <v>OK</v>
      </c>
      <c r="Z13" t="str">
        <f t="shared" si="3"/>
        <v>OK</v>
      </c>
      <c r="AA13" t="str">
        <f t="shared" si="4"/>
        <v>OK</v>
      </c>
      <c r="AB13" t="str">
        <f>IF(OR(P13&lt;0,P13&gt;1),"Invalid Discount","Valid")</f>
        <v>Valid</v>
      </c>
      <c r="AC13" t="str">
        <f>IF(OR(AB13="Invalid Discount",V13="Invalid Shipping"),
"Invalid",
IF(OR(Y13="Missing Region",
Z13="Missing Ship Mode",
AA13="Missing Discount",
X13="Flagged for Review"),
"Warning",
"Clean"))</f>
        <v>Clean</v>
      </c>
      <c r="AD13">
        <f t="shared" si="5"/>
        <v>0.2</v>
      </c>
      <c r="AE13">
        <f>N13*O13*(1-AD13)</f>
        <v>9628.5600000000013</v>
      </c>
      <c r="AF13">
        <f>AE13-R13</f>
        <v>1589.9700000000012</v>
      </c>
      <c r="AG13" s="3">
        <f t="shared" si="6"/>
        <v>0.16513061143099289</v>
      </c>
      <c r="AH13" t="str">
        <f t="shared" si="7"/>
        <v>July</v>
      </c>
      <c r="AI13">
        <f t="shared" si="8"/>
        <v>2024</v>
      </c>
    </row>
    <row r="14" spans="1:35">
      <c r="A14" t="s">
        <v>121</v>
      </c>
      <c r="B14" s="2">
        <v>45646</v>
      </c>
      <c r="C14" s="2">
        <v>45647</v>
      </c>
      <c r="D14" t="s">
        <v>122</v>
      </c>
      <c r="E14" t="s">
        <v>76</v>
      </c>
      <c r="F14" t="s">
        <v>104</v>
      </c>
      <c r="G14" t="s">
        <v>77</v>
      </c>
      <c r="H14" t="s">
        <v>40</v>
      </c>
      <c r="I14" t="s">
        <v>123</v>
      </c>
      <c r="J14" t="s">
        <v>42</v>
      </c>
      <c r="K14" t="s">
        <v>43</v>
      </c>
      <c r="L14" t="s">
        <v>124</v>
      </c>
      <c r="M14" t="s">
        <v>64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125</v>
      </c>
      <c r="U14" t="s">
        <v>117</v>
      </c>
      <c r="V14" t="str">
        <f t="shared" si="0"/>
        <v>Valid</v>
      </c>
      <c r="W14">
        <f t="shared" si="1"/>
        <v>1</v>
      </c>
      <c r="Y14" t="str">
        <f t="shared" si="2"/>
        <v>OK</v>
      </c>
      <c r="Z14" t="str">
        <f t="shared" si="3"/>
        <v>OK</v>
      </c>
      <c r="AA14" t="str">
        <f t="shared" si="4"/>
        <v>OK</v>
      </c>
      <c r="AB14" t="str">
        <f>IF(OR(P14&lt;0,P14&gt;1),"Invalid Discount","Valid")</f>
        <v>Valid</v>
      </c>
      <c r="AC14" t="str">
        <f>IF(OR(AB14="Invalid Discount",V14="Invalid Shipping"),
"Invalid",
IF(OR(Y14="Missing Region",
Z14="Missing Ship Mode",
AA14="Missing Discount",
X14="Flagged for Review"),
"Warning",
"Clean"))</f>
        <v>Clean</v>
      </c>
      <c r="AD14">
        <f t="shared" si="5"/>
        <v>0.15</v>
      </c>
      <c r="AE14">
        <f>N14*O14*(1-AD14)</f>
        <v>596.81899999999996</v>
      </c>
      <c r="AF14">
        <f>AE14-R14</f>
        <v>216.56899999999996</v>
      </c>
      <c r="AG14" s="3">
        <f t="shared" si="6"/>
        <v>0.36287216057129545</v>
      </c>
      <c r="AH14" t="str">
        <f t="shared" si="7"/>
        <v>December</v>
      </c>
      <c r="AI14">
        <f t="shared" si="8"/>
        <v>2024</v>
      </c>
    </row>
    <row r="15" spans="1:35">
      <c r="A15" t="s">
        <v>126</v>
      </c>
      <c r="B15" s="2">
        <v>45942</v>
      </c>
      <c r="C15" s="2">
        <v>45946</v>
      </c>
      <c r="D15" t="s">
        <v>127</v>
      </c>
      <c r="E15" t="s">
        <v>128</v>
      </c>
      <c r="F15" t="s">
        <v>51</v>
      </c>
      <c r="G15" t="s">
        <v>77</v>
      </c>
      <c r="H15" t="s">
        <v>78</v>
      </c>
      <c r="I15" t="s">
        <v>79</v>
      </c>
      <c r="J15" t="s">
        <v>42</v>
      </c>
      <c r="K15" t="s">
        <v>62</v>
      </c>
      <c r="L15" t="s">
        <v>129</v>
      </c>
      <c r="M15" t="s">
        <v>45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46</v>
      </c>
      <c r="U15" t="s">
        <v>47</v>
      </c>
      <c r="V15" t="str">
        <f t="shared" si="0"/>
        <v>Valid</v>
      </c>
      <c r="W15">
        <f t="shared" si="1"/>
        <v>4</v>
      </c>
      <c r="Y15" t="str">
        <f t="shared" si="2"/>
        <v>OK</v>
      </c>
      <c r="Z15" t="str">
        <f t="shared" si="3"/>
        <v>OK</v>
      </c>
      <c r="AA15" t="str">
        <f t="shared" si="4"/>
        <v>OK</v>
      </c>
      <c r="AB15" t="str">
        <f>IF(OR(P15&lt;0,P15&gt;1),"Invalid Discount","Valid")</f>
        <v>Valid</v>
      </c>
      <c r="AC15" t="str">
        <f>IF(OR(AB15="Invalid Discount",V15="Invalid Shipping"),
"Invalid",
IF(OR(Y15="Missing Region",
Z15="Missing Ship Mode",
AA15="Missing Discount",
X15="Flagged for Review"),
"Warning",
"Clean"))</f>
        <v>Clean</v>
      </c>
      <c r="AD15">
        <f t="shared" si="5"/>
        <v>0.05</v>
      </c>
      <c r="AE15">
        <f>N15*O15*(1-AD15)</f>
        <v>26365.387999999995</v>
      </c>
      <c r="AF15">
        <f>AE15-R15</f>
        <v>4059.1479999999938</v>
      </c>
      <c r="AG15" s="3">
        <f t="shared" si="6"/>
        <v>0.15395745361304733</v>
      </c>
      <c r="AH15" t="str">
        <f t="shared" si="7"/>
        <v>October</v>
      </c>
      <c r="AI15">
        <f t="shared" si="8"/>
        <v>2025</v>
      </c>
    </row>
    <row r="16" spans="1:35">
      <c r="A16" t="s">
        <v>130</v>
      </c>
      <c r="B16" s="2">
        <v>45653</v>
      </c>
      <c r="C16" s="2">
        <v>45654</v>
      </c>
      <c r="D16" t="s">
        <v>131</v>
      </c>
      <c r="E16" t="s">
        <v>132</v>
      </c>
      <c r="F16" t="s">
        <v>38</v>
      </c>
      <c r="G16" t="s">
        <v>77</v>
      </c>
      <c r="H16" t="s">
        <v>40</v>
      </c>
      <c r="I16" t="s">
        <v>123</v>
      </c>
      <c r="J16" t="s">
        <v>88</v>
      </c>
      <c r="K16" t="s">
        <v>94</v>
      </c>
      <c r="L16" t="s">
        <v>133</v>
      </c>
      <c r="M16" t="s">
        <v>73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46</v>
      </c>
      <c r="U16" t="s">
        <v>47</v>
      </c>
      <c r="V16" t="str">
        <f t="shared" si="0"/>
        <v>Valid</v>
      </c>
      <c r="W16">
        <f t="shared" si="1"/>
        <v>1</v>
      </c>
      <c r="Y16" t="str">
        <f t="shared" si="2"/>
        <v>OK</v>
      </c>
      <c r="Z16" t="str">
        <f t="shared" si="3"/>
        <v>OK</v>
      </c>
      <c r="AA16" t="str">
        <f t="shared" si="4"/>
        <v>OK</v>
      </c>
      <c r="AB16" t="str">
        <f>IF(OR(P16&lt;0,P16&gt;1),"Invalid Discount","Valid")</f>
        <v>Valid</v>
      </c>
      <c r="AC16" t="str">
        <f>IF(OR(AB16="Invalid Discount",V16="Invalid Shipping"),
"Invalid",
IF(OR(Y16="Missing Region",
Z16="Missing Ship Mode",
AA16="Missing Discount",
X16="Flagged for Review"),
"Warning",
"Clean"))</f>
        <v>Clean</v>
      </c>
      <c r="AD16">
        <f t="shared" si="5"/>
        <v>0.25</v>
      </c>
      <c r="AE16">
        <f>N16*O16*(1-AD16)</f>
        <v>4106.7449999999999</v>
      </c>
      <c r="AF16">
        <f>AE16-R16</f>
        <v>1440.4449999999997</v>
      </c>
      <c r="AG16" s="3">
        <f t="shared" si="6"/>
        <v>0.35075102057712365</v>
      </c>
      <c r="AH16" t="str">
        <f t="shared" si="7"/>
        <v>December</v>
      </c>
      <c r="AI16">
        <f t="shared" si="8"/>
        <v>2024</v>
      </c>
    </row>
    <row r="17" spans="1:35">
      <c r="A17" t="s">
        <v>134</v>
      </c>
      <c r="B17" s="2">
        <v>45482</v>
      </c>
      <c r="C17" s="2">
        <v>45482</v>
      </c>
      <c r="D17" t="s">
        <v>135</v>
      </c>
      <c r="E17" t="s">
        <v>37</v>
      </c>
      <c r="F17" t="s">
        <v>51</v>
      </c>
      <c r="G17" t="s">
        <v>39</v>
      </c>
      <c r="H17" t="s">
        <v>136</v>
      </c>
      <c r="I17" t="s">
        <v>137</v>
      </c>
      <c r="J17" t="s">
        <v>42</v>
      </c>
      <c r="K17" t="s">
        <v>138</v>
      </c>
      <c r="L17" t="s">
        <v>139</v>
      </c>
      <c r="M17" t="s">
        <v>45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46</v>
      </c>
      <c r="U17" t="s">
        <v>47</v>
      </c>
      <c r="V17" t="str">
        <f t="shared" si="0"/>
        <v>Valid</v>
      </c>
      <c r="W17">
        <f t="shared" si="1"/>
        <v>0</v>
      </c>
      <c r="Y17" t="str">
        <f t="shared" si="2"/>
        <v>OK</v>
      </c>
      <c r="Z17" t="str">
        <f t="shared" si="3"/>
        <v>OK</v>
      </c>
      <c r="AA17" t="str">
        <f t="shared" si="4"/>
        <v>OK</v>
      </c>
      <c r="AB17" t="str">
        <f>IF(OR(P17&lt;0,P17&gt;1),"Invalid Discount","Valid")</f>
        <v>Valid</v>
      </c>
      <c r="AC17" t="str">
        <f>IF(OR(AB17="Invalid Discount",V17="Invalid Shipping"),
"Invalid",
IF(OR(Y17="Missing Region",
Z17="Missing Ship Mode",
AA17="Missing Discount",
X17="Flagged for Review"),
"Warning",
"Clean"))</f>
        <v>Clean</v>
      </c>
      <c r="AD17">
        <f t="shared" si="5"/>
        <v>0</v>
      </c>
      <c r="AE17">
        <f>N17*O17*(1-AD17)</f>
        <v>23794.560000000001</v>
      </c>
      <c r="AF17">
        <f>AE17-R17</f>
        <v>8096.090000000002</v>
      </c>
      <c r="AG17" s="3">
        <f t="shared" si="6"/>
        <v>0.34024962008122872</v>
      </c>
      <c r="AH17" t="str">
        <f t="shared" si="7"/>
        <v>July</v>
      </c>
      <c r="AI17">
        <f t="shared" si="8"/>
        <v>2024</v>
      </c>
    </row>
    <row r="18" spans="1:35">
      <c r="A18" t="s">
        <v>140</v>
      </c>
      <c r="B18" s="2">
        <v>45420</v>
      </c>
      <c r="C18" s="2">
        <v>45427</v>
      </c>
      <c r="D18" t="s">
        <v>141</v>
      </c>
      <c r="E18" t="s">
        <v>142</v>
      </c>
      <c r="F18" t="s">
        <v>38</v>
      </c>
      <c r="G18" t="s">
        <v>68</v>
      </c>
      <c r="H18" t="s">
        <v>69</v>
      </c>
      <c r="I18" t="s">
        <v>70</v>
      </c>
      <c r="J18" t="s">
        <v>42</v>
      </c>
      <c r="K18" t="s">
        <v>62</v>
      </c>
      <c r="L18" t="s">
        <v>143</v>
      </c>
      <c r="M18" t="s">
        <v>64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46</v>
      </c>
      <c r="U18" t="s">
        <v>47</v>
      </c>
      <c r="V18" t="str">
        <f t="shared" si="0"/>
        <v>Valid</v>
      </c>
      <c r="W18">
        <f t="shared" si="1"/>
        <v>7</v>
      </c>
      <c r="Y18" t="str">
        <f t="shared" si="2"/>
        <v>OK</v>
      </c>
      <c r="Z18" t="str">
        <f t="shared" si="3"/>
        <v>OK</v>
      </c>
      <c r="AA18" t="str">
        <f t="shared" si="4"/>
        <v>OK</v>
      </c>
      <c r="AB18" t="str">
        <f>IF(OR(P18&lt;0,P18&gt;1),"Invalid Discount","Valid")</f>
        <v>Valid</v>
      </c>
      <c r="AC18" t="str">
        <f>IF(OR(AB18="Invalid Discount",V18="Invalid Shipping"),
"Invalid",
IF(OR(Y18="Missing Region",
Z18="Missing Ship Mode",
AA18="Missing Discount",
X18="Flagged for Review"),
"Warning",
"Clean"))</f>
        <v>Clean</v>
      </c>
      <c r="AD18">
        <f t="shared" si="5"/>
        <v>0.25</v>
      </c>
      <c r="AE18">
        <f>N18*O18*(1-AD18)</f>
        <v>9970.5300000000007</v>
      </c>
      <c r="AF18">
        <f>AE18-R18</f>
        <v>4302.3600000000006</v>
      </c>
      <c r="AG18" s="3">
        <f t="shared" si="6"/>
        <v>0.43150765305354882</v>
      </c>
      <c r="AH18" t="str">
        <f t="shared" si="7"/>
        <v>May</v>
      </c>
      <c r="AI18">
        <f t="shared" si="8"/>
        <v>2024</v>
      </c>
    </row>
    <row r="19" spans="1:35">
      <c r="A19" t="s">
        <v>144</v>
      </c>
      <c r="B19" s="2">
        <v>45298</v>
      </c>
      <c r="C19" s="2">
        <v>45299</v>
      </c>
      <c r="D19" t="s">
        <v>145</v>
      </c>
      <c r="E19" t="s">
        <v>146</v>
      </c>
      <c r="F19" t="s">
        <v>51</v>
      </c>
      <c r="G19" t="s">
        <v>39</v>
      </c>
      <c r="H19" t="s">
        <v>40</v>
      </c>
      <c r="I19" t="s">
        <v>41</v>
      </c>
      <c r="J19" t="s">
        <v>55</v>
      </c>
      <c r="K19" t="s">
        <v>71</v>
      </c>
      <c r="L19" t="s">
        <v>147</v>
      </c>
      <c r="M19" t="s">
        <v>58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46</v>
      </c>
      <c r="U19" t="s">
        <v>47</v>
      </c>
      <c r="V19" t="str">
        <f t="shared" si="0"/>
        <v>Valid</v>
      </c>
      <c r="W19">
        <f t="shared" si="1"/>
        <v>1</v>
      </c>
      <c r="Y19" t="str">
        <f t="shared" si="2"/>
        <v>OK</v>
      </c>
      <c r="Z19" t="str">
        <f t="shared" si="3"/>
        <v>OK</v>
      </c>
      <c r="AA19" t="str">
        <f t="shared" si="4"/>
        <v>OK</v>
      </c>
      <c r="AB19" t="str">
        <f>IF(OR(P19&lt;0,P19&gt;1),"Invalid Discount","Valid")</f>
        <v>Valid</v>
      </c>
      <c r="AC19" t="str">
        <f>IF(OR(AB19="Invalid Discount",V19="Invalid Shipping"),
"Invalid",
IF(OR(Y19="Missing Region",
Z19="Missing Ship Mode",
AA19="Missing Discount",
X19="Flagged for Review"),
"Warning",
"Clean"))</f>
        <v>Clean</v>
      </c>
      <c r="AD19">
        <f t="shared" si="5"/>
        <v>0</v>
      </c>
      <c r="AE19">
        <f>N19*O19*(1-AD19)</f>
        <v>7633.9</v>
      </c>
      <c r="AF19">
        <f>AE19-R19</f>
        <v>2926.99</v>
      </c>
      <c r="AG19" s="3">
        <f t="shared" si="6"/>
        <v>0.38342000812166782</v>
      </c>
      <c r="AH19" t="str">
        <f t="shared" si="7"/>
        <v>January</v>
      </c>
      <c r="AI19">
        <f t="shared" si="8"/>
        <v>2024</v>
      </c>
    </row>
    <row r="20" spans="1:35">
      <c r="A20" t="s">
        <v>148</v>
      </c>
      <c r="B20" s="2">
        <v>45853</v>
      </c>
      <c r="C20" s="2">
        <v>45855</v>
      </c>
      <c r="D20" t="s">
        <v>149</v>
      </c>
      <c r="E20" t="s">
        <v>142</v>
      </c>
      <c r="F20" t="s">
        <v>109</v>
      </c>
      <c r="G20" t="s">
        <v>39</v>
      </c>
      <c r="H20" t="s">
        <v>150</v>
      </c>
      <c r="I20" t="s">
        <v>151</v>
      </c>
      <c r="J20" t="s">
        <v>88</v>
      </c>
      <c r="K20" t="s">
        <v>94</v>
      </c>
      <c r="L20" t="s">
        <v>152</v>
      </c>
      <c r="M20" t="s">
        <v>64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116</v>
      </c>
      <c r="U20" t="s">
        <v>82</v>
      </c>
      <c r="V20" t="str">
        <f t="shared" si="0"/>
        <v>Valid</v>
      </c>
      <c r="W20">
        <f t="shared" si="1"/>
        <v>2</v>
      </c>
      <c r="Y20" t="str">
        <f t="shared" si="2"/>
        <v>OK</v>
      </c>
      <c r="Z20" t="str">
        <f t="shared" si="3"/>
        <v>OK</v>
      </c>
      <c r="AA20" t="str">
        <f t="shared" si="4"/>
        <v>OK</v>
      </c>
      <c r="AB20" t="str">
        <f>IF(OR(P20&lt;0,P20&gt;1),"Invalid Discount","Valid")</f>
        <v>Valid</v>
      </c>
      <c r="AC20" t="str">
        <f>IF(OR(AB20="Invalid Discount",V20="Invalid Shipping"),
"Invalid",
IF(OR(Y20="Missing Region",
Z20="Missing Ship Mode",
AA20="Missing Discount",
X20="Flagged for Review"),
"Warning",
"Clean"))</f>
        <v>Clean</v>
      </c>
      <c r="AD20">
        <f t="shared" si="5"/>
        <v>0</v>
      </c>
      <c r="AE20">
        <f>N20*O20*(1-AD20)</f>
        <v>3995.98</v>
      </c>
      <c r="AF20">
        <f>AE20-R20</f>
        <v>1362.7800000000002</v>
      </c>
      <c r="AG20" s="3">
        <f t="shared" si="6"/>
        <v>0.34103774293164635</v>
      </c>
      <c r="AH20" t="str">
        <f t="shared" si="7"/>
        <v>July</v>
      </c>
      <c r="AI20">
        <f t="shared" si="8"/>
        <v>2025</v>
      </c>
    </row>
    <row r="21" spans="1:35">
      <c r="A21" t="s">
        <v>153</v>
      </c>
      <c r="B21" s="2">
        <v>45500</v>
      </c>
      <c r="C21" s="2">
        <v>45504</v>
      </c>
      <c r="D21" t="s">
        <v>154</v>
      </c>
      <c r="E21" t="s">
        <v>155</v>
      </c>
      <c r="F21" t="s">
        <v>109</v>
      </c>
      <c r="G21" t="s">
        <v>77</v>
      </c>
      <c r="H21" t="s">
        <v>86</v>
      </c>
      <c r="I21" t="s">
        <v>87</v>
      </c>
      <c r="J21" t="s">
        <v>42</v>
      </c>
      <c r="K21" t="s">
        <v>138</v>
      </c>
      <c r="L21" t="s">
        <v>156</v>
      </c>
      <c r="M21" t="s">
        <v>45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46</v>
      </c>
      <c r="U21" t="s">
        <v>47</v>
      </c>
      <c r="V21" t="str">
        <f t="shared" si="0"/>
        <v>Valid</v>
      </c>
      <c r="W21">
        <f t="shared" si="1"/>
        <v>4</v>
      </c>
      <c r="Y21" t="str">
        <f t="shared" si="2"/>
        <v>OK</v>
      </c>
      <c r="Z21" t="str">
        <f t="shared" si="3"/>
        <v>OK</v>
      </c>
      <c r="AA21" t="str">
        <f t="shared" si="4"/>
        <v>OK</v>
      </c>
      <c r="AB21" t="str">
        <f>IF(OR(P21&lt;0,P21&gt;1),"Invalid Discount","Valid")</f>
        <v>Invalid Discount</v>
      </c>
      <c r="AC21" t="str">
        <f>IF(OR(AB21="Invalid Discount",V21="Invalid Shipping"),
"Invalid",
IF(OR(Y21="Missing Region",
Z21="Missing Ship Mode",
AA21="Missing Discount",
X21="Flagged for Review"),
"Warning",
"Clean"))</f>
        <v>Invalid</v>
      </c>
      <c r="AD21">
        <f t="shared" si="5"/>
        <v>-0.19</v>
      </c>
      <c r="AE21">
        <f>N21*O21*(1-AD21)</f>
        <v>13879.9458</v>
      </c>
      <c r="AF21">
        <f>AE21-R21</f>
        <v>6350.6357999999991</v>
      </c>
      <c r="AG21" s="3">
        <f t="shared" si="6"/>
        <v>0.45754038895454474</v>
      </c>
      <c r="AH21" t="str">
        <f t="shared" si="7"/>
        <v>July</v>
      </c>
      <c r="AI21">
        <f t="shared" si="8"/>
        <v>2024</v>
      </c>
    </row>
    <row r="22" spans="1:35">
      <c r="A22" t="s">
        <v>157</v>
      </c>
      <c r="B22" s="2">
        <v>45678</v>
      </c>
      <c r="C22" s="2">
        <v>45680</v>
      </c>
      <c r="D22" t="s">
        <v>158</v>
      </c>
      <c r="E22" t="s">
        <v>103</v>
      </c>
      <c r="F22" t="s">
        <v>109</v>
      </c>
      <c r="G22" t="s">
        <v>52</v>
      </c>
      <c r="H22" t="s">
        <v>159</v>
      </c>
      <c r="I22" t="s">
        <v>160</v>
      </c>
      <c r="J22" t="s">
        <v>88</v>
      </c>
      <c r="K22" t="s">
        <v>94</v>
      </c>
      <c r="L22" t="s">
        <v>161</v>
      </c>
      <c r="M22" t="s">
        <v>64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46</v>
      </c>
      <c r="U22" t="s">
        <v>47</v>
      </c>
      <c r="V22" t="str">
        <f t="shared" si="0"/>
        <v>Valid</v>
      </c>
      <c r="W22">
        <f t="shared" si="1"/>
        <v>2</v>
      </c>
      <c r="Y22" t="str">
        <f t="shared" si="2"/>
        <v>OK</v>
      </c>
      <c r="Z22" t="str">
        <f t="shared" si="3"/>
        <v>OK</v>
      </c>
      <c r="AA22" t="str">
        <f t="shared" si="4"/>
        <v>OK</v>
      </c>
      <c r="AB22" t="str">
        <f>IF(OR(P22&lt;0,P22&gt;1),"Invalid Discount","Valid")</f>
        <v>Valid</v>
      </c>
      <c r="AC22" t="str">
        <f>IF(OR(AB22="Invalid Discount",V22="Invalid Shipping"),
"Invalid",
IF(OR(Y22="Missing Region",
Z22="Missing Ship Mode",
AA22="Missing Discount",
X22="Flagged for Review"),
"Warning",
"Clean"))</f>
        <v>Clean</v>
      </c>
      <c r="AD22">
        <f t="shared" si="5"/>
        <v>0.25</v>
      </c>
      <c r="AE22">
        <f>N22*O22*(1-AD22)</f>
        <v>16398.975000000002</v>
      </c>
      <c r="AF22">
        <f>AE22-R22</f>
        <v>6842.4550000000017</v>
      </c>
      <c r="AG22" s="3">
        <f t="shared" si="6"/>
        <v>0.4172489439126531</v>
      </c>
      <c r="AH22" t="str">
        <f t="shared" si="7"/>
        <v>January</v>
      </c>
      <c r="AI22">
        <f t="shared" si="8"/>
        <v>2025</v>
      </c>
    </row>
    <row r="23" spans="1:35">
      <c r="A23" t="s">
        <v>162</v>
      </c>
      <c r="B23" s="2">
        <v>45681</v>
      </c>
      <c r="C23" s="2">
        <v>45687</v>
      </c>
      <c r="D23" t="s">
        <v>163</v>
      </c>
      <c r="E23" t="s">
        <v>146</v>
      </c>
      <c r="F23" t="s">
        <v>38</v>
      </c>
      <c r="G23" t="s">
        <v>77</v>
      </c>
      <c r="H23" t="s">
        <v>86</v>
      </c>
      <c r="I23" t="s">
        <v>87</v>
      </c>
      <c r="J23" t="s">
        <v>55</v>
      </c>
      <c r="K23" t="s">
        <v>71</v>
      </c>
      <c r="L23" t="s">
        <v>164</v>
      </c>
      <c r="M23" t="s">
        <v>45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46</v>
      </c>
      <c r="U23" t="s">
        <v>47</v>
      </c>
      <c r="V23" t="str">
        <f t="shared" si="0"/>
        <v>Valid</v>
      </c>
      <c r="W23">
        <f t="shared" si="1"/>
        <v>6</v>
      </c>
      <c r="Y23" t="str">
        <f t="shared" si="2"/>
        <v>OK</v>
      </c>
      <c r="Z23" t="str">
        <f t="shared" si="3"/>
        <v>OK</v>
      </c>
      <c r="AA23" t="str">
        <f t="shared" si="4"/>
        <v>OK</v>
      </c>
      <c r="AB23" t="str">
        <f>IF(OR(P23&lt;0,P23&gt;1),"Invalid Discount","Valid")</f>
        <v>Invalid Discount</v>
      </c>
      <c r="AC23" t="str">
        <f>IF(OR(AB23="Invalid Discount",V23="Invalid Shipping"),
"Invalid",
IF(OR(Y23="Missing Region",
Z23="Missing Ship Mode",
AA23="Missing Discount",
X23="Flagged for Review"),
"Warning",
"Clean"))</f>
        <v>Invalid</v>
      </c>
      <c r="AD23">
        <f t="shared" si="5"/>
        <v>-0.23</v>
      </c>
      <c r="AE23">
        <f>N23*O23*(1-AD23)</f>
        <v>3432.6348000000003</v>
      </c>
      <c r="AF23">
        <f>AE23-R23</f>
        <v>1394.9248000000002</v>
      </c>
      <c r="AG23" s="3">
        <f t="shared" si="6"/>
        <v>0.40637145553613807</v>
      </c>
      <c r="AH23" t="str">
        <f t="shared" si="7"/>
        <v>January</v>
      </c>
      <c r="AI23">
        <f t="shared" si="8"/>
        <v>2025</v>
      </c>
    </row>
    <row r="24" spans="1:35">
      <c r="A24" t="s">
        <v>165</v>
      </c>
      <c r="B24" s="2">
        <v>45676</v>
      </c>
      <c r="C24" s="2">
        <v>45678</v>
      </c>
      <c r="D24" t="s">
        <v>166</v>
      </c>
      <c r="E24" t="s">
        <v>50</v>
      </c>
      <c r="F24" t="s">
        <v>38</v>
      </c>
      <c r="G24" t="s">
        <v>68</v>
      </c>
      <c r="H24" t="s">
        <v>69</v>
      </c>
      <c r="I24" t="s">
        <v>70</v>
      </c>
      <c r="J24" t="s">
        <v>42</v>
      </c>
      <c r="K24" t="s">
        <v>167</v>
      </c>
      <c r="L24" t="s">
        <v>168</v>
      </c>
      <c r="M24" t="s">
        <v>73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169</v>
      </c>
      <c r="U24" t="s">
        <v>117</v>
      </c>
      <c r="V24" t="str">
        <f t="shared" si="0"/>
        <v>Valid</v>
      </c>
      <c r="W24">
        <f t="shared" si="1"/>
        <v>2</v>
      </c>
      <c r="Y24" t="str">
        <f t="shared" si="2"/>
        <v>OK</v>
      </c>
      <c r="Z24" t="str">
        <f t="shared" si="3"/>
        <v>OK</v>
      </c>
      <c r="AA24" t="str">
        <f t="shared" si="4"/>
        <v>OK</v>
      </c>
      <c r="AB24" t="str">
        <f>IF(OR(P24&lt;0,P24&gt;1),"Invalid Discount","Valid")</f>
        <v>Valid</v>
      </c>
      <c r="AC24" t="str">
        <f>IF(OR(AB24="Invalid Discount",V24="Invalid Shipping"),
"Invalid",
IF(OR(Y24="Missing Region",
Z24="Missing Ship Mode",
AA24="Missing Discount",
X24="Flagged for Review"),
"Warning",
"Clean"))</f>
        <v>Clean</v>
      </c>
      <c r="AD24">
        <f t="shared" si="5"/>
        <v>0.15</v>
      </c>
      <c r="AE24">
        <f>N24*O24*(1-AD24)</f>
        <v>8291.5119999999988</v>
      </c>
      <c r="AF24">
        <f>AE24-R24</f>
        <v>1606.4819999999991</v>
      </c>
      <c r="AG24" s="3">
        <f t="shared" si="6"/>
        <v>0.19375018693816029</v>
      </c>
      <c r="AH24" t="str">
        <f t="shared" si="7"/>
        <v>January</v>
      </c>
      <c r="AI24">
        <f t="shared" si="8"/>
        <v>2025</v>
      </c>
    </row>
    <row r="25" spans="1:35">
      <c r="A25" t="s">
        <v>170</v>
      </c>
      <c r="B25" s="2">
        <v>45898</v>
      </c>
      <c r="C25" s="2">
        <v>45900</v>
      </c>
      <c r="D25" t="s">
        <v>171</v>
      </c>
      <c r="E25" t="s">
        <v>132</v>
      </c>
      <c r="F25" t="s">
        <v>109</v>
      </c>
      <c r="G25" t="s">
        <v>52</v>
      </c>
      <c r="H25" t="s">
        <v>159</v>
      </c>
      <c r="I25" t="s">
        <v>160</v>
      </c>
      <c r="J25" t="s">
        <v>55</v>
      </c>
      <c r="K25" t="s">
        <v>172</v>
      </c>
      <c r="L25" t="s">
        <v>173</v>
      </c>
      <c r="M25" t="s">
        <v>64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46</v>
      </c>
      <c r="U25" t="s">
        <v>47</v>
      </c>
      <c r="V25" t="str">
        <f t="shared" si="0"/>
        <v>Valid</v>
      </c>
      <c r="W25">
        <f t="shared" si="1"/>
        <v>2</v>
      </c>
      <c r="Y25" t="str">
        <f t="shared" si="2"/>
        <v>OK</v>
      </c>
      <c r="Z25" t="str">
        <f t="shared" si="3"/>
        <v>OK</v>
      </c>
      <c r="AA25" t="str">
        <f t="shared" si="4"/>
        <v>OK</v>
      </c>
      <c r="AB25" t="str">
        <f>IF(OR(P25&lt;0,P25&gt;1),"Invalid Discount","Valid")</f>
        <v>Valid</v>
      </c>
      <c r="AC25" t="str">
        <f>IF(OR(AB25="Invalid Discount",V25="Invalid Shipping"),
"Invalid",
IF(OR(Y25="Missing Region",
Z25="Missing Ship Mode",
AA25="Missing Discount",
X25="Flagged for Review"),
"Warning",
"Clean"))</f>
        <v>Clean</v>
      </c>
      <c r="AD25">
        <f t="shared" si="5"/>
        <v>0.2</v>
      </c>
      <c r="AE25">
        <f>N25*O25*(1-AD25)</f>
        <v>6265.6320000000005</v>
      </c>
      <c r="AF25">
        <f>AE25-R25</f>
        <v>1943.7720000000008</v>
      </c>
      <c r="AG25" s="3">
        <f t="shared" si="6"/>
        <v>0.31022760353624351</v>
      </c>
      <c r="AH25" t="str">
        <f t="shared" si="7"/>
        <v>August</v>
      </c>
      <c r="AI25">
        <f t="shared" si="8"/>
        <v>2025</v>
      </c>
    </row>
    <row r="26" spans="1:35">
      <c r="A26" t="s">
        <v>174</v>
      </c>
      <c r="B26" s="2">
        <v>45355</v>
      </c>
      <c r="C26" s="2">
        <v>45352</v>
      </c>
      <c r="D26" t="s">
        <v>175</v>
      </c>
      <c r="E26" t="s">
        <v>176</v>
      </c>
      <c r="F26" t="s">
        <v>38</v>
      </c>
      <c r="G26" t="s">
        <v>39</v>
      </c>
      <c r="H26" t="s">
        <v>136</v>
      </c>
      <c r="I26" t="s">
        <v>137</v>
      </c>
      <c r="J26" t="s">
        <v>42</v>
      </c>
      <c r="K26" t="s">
        <v>62</v>
      </c>
      <c r="L26" t="s">
        <v>177</v>
      </c>
      <c r="M26" t="s">
        <v>73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125</v>
      </c>
      <c r="U26" t="s">
        <v>82</v>
      </c>
      <c r="V26" t="str">
        <f t="shared" si="0"/>
        <v>Invalid Shipping</v>
      </c>
      <c r="W26">
        <f t="shared" si="1"/>
        <v>-3</v>
      </c>
      <c r="Y26" t="str">
        <f t="shared" si="2"/>
        <v>OK</v>
      </c>
      <c r="Z26" t="str">
        <f t="shared" si="3"/>
        <v>OK</v>
      </c>
      <c r="AA26" t="str">
        <f t="shared" si="4"/>
        <v>OK</v>
      </c>
      <c r="AB26" t="str">
        <f>IF(OR(P26&lt;0,P26&gt;1),"Invalid Discount","Valid")</f>
        <v>Valid</v>
      </c>
      <c r="AC26" t="str">
        <f>IF(OR(AB26="Invalid Discount",V26="Invalid Shipping"),
"Invalid",
IF(OR(Y26="Missing Region",
Z26="Missing Ship Mode",
AA26="Missing Discount",
X26="Flagged for Review"),
"Warning",
"Clean"))</f>
        <v>Invalid</v>
      </c>
      <c r="AD26">
        <f t="shared" si="5"/>
        <v>0.25</v>
      </c>
      <c r="AE26">
        <f>N26*O26*(1-AD26)</f>
        <v>13478.82</v>
      </c>
      <c r="AF26">
        <f>AE26-R26</f>
        <v>2541.4699999999993</v>
      </c>
      <c r="AG26" s="3">
        <f t="shared" si="6"/>
        <v>0.18855285551702591</v>
      </c>
      <c r="AH26" t="str">
        <f t="shared" si="7"/>
        <v>March</v>
      </c>
      <c r="AI26">
        <f t="shared" si="8"/>
        <v>2024</v>
      </c>
    </row>
    <row r="27" spans="1:35">
      <c r="A27" t="s">
        <v>178</v>
      </c>
      <c r="B27" s="2">
        <v>45576</v>
      </c>
      <c r="C27" s="2">
        <v>45584</v>
      </c>
      <c r="D27" t="s">
        <v>179</v>
      </c>
      <c r="E27" t="s">
        <v>67</v>
      </c>
      <c r="F27" t="s">
        <v>104</v>
      </c>
      <c r="G27" t="s">
        <v>52</v>
      </c>
      <c r="H27" t="s">
        <v>180</v>
      </c>
      <c r="I27" t="s">
        <v>181</v>
      </c>
      <c r="J27" t="s">
        <v>88</v>
      </c>
      <c r="K27" t="s">
        <v>89</v>
      </c>
      <c r="L27" t="s">
        <v>182</v>
      </c>
      <c r="M27" t="s">
        <v>64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46</v>
      </c>
      <c r="U27" t="s">
        <v>47</v>
      </c>
      <c r="V27" t="str">
        <f t="shared" si="0"/>
        <v>Valid</v>
      </c>
      <c r="W27">
        <f t="shared" si="1"/>
        <v>8</v>
      </c>
      <c r="Y27" t="str">
        <f t="shared" si="2"/>
        <v>OK</v>
      </c>
      <c r="Z27" t="str">
        <f t="shared" si="3"/>
        <v>OK</v>
      </c>
      <c r="AA27" t="str">
        <f t="shared" si="4"/>
        <v>OK</v>
      </c>
      <c r="AB27" t="str">
        <f>IF(OR(P27&lt;0,P27&gt;1),"Invalid Discount","Valid")</f>
        <v>Valid</v>
      </c>
      <c r="AC27" t="str">
        <f>IF(OR(AB27="Invalid Discount",V27="Invalid Shipping"),
"Invalid",
IF(OR(Y27="Missing Region",
Z27="Missing Ship Mode",
AA27="Missing Discount",
X27="Flagged for Review"),
"Warning",
"Clean"))</f>
        <v>Clean</v>
      </c>
      <c r="AD27">
        <f t="shared" si="5"/>
        <v>0.15</v>
      </c>
      <c r="AE27">
        <f>N27*O27*(1-AD27)</f>
        <v>7335.8399999999992</v>
      </c>
      <c r="AF27">
        <f>AE27-R27</f>
        <v>2367.4299999999994</v>
      </c>
      <c r="AG27" s="3">
        <f t="shared" si="6"/>
        <v>0.32272105171323251</v>
      </c>
      <c r="AH27" t="str">
        <f t="shared" si="7"/>
        <v>October</v>
      </c>
      <c r="AI27">
        <f t="shared" si="8"/>
        <v>2024</v>
      </c>
    </row>
    <row r="28" spans="1:35">
      <c r="A28" t="s">
        <v>183</v>
      </c>
      <c r="B28" s="2">
        <v>45619</v>
      </c>
      <c r="C28" s="2">
        <v>45619</v>
      </c>
      <c r="D28" t="s">
        <v>184</v>
      </c>
      <c r="E28" t="s">
        <v>176</v>
      </c>
      <c r="F28" t="s">
        <v>104</v>
      </c>
      <c r="G28" t="s">
        <v>39</v>
      </c>
      <c r="H28" t="s">
        <v>150</v>
      </c>
      <c r="I28" t="s">
        <v>151</v>
      </c>
      <c r="J28" t="s">
        <v>88</v>
      </c>
      <c r="K28" t="s">
        <v>185</v>
      </c>
      <c r="L28" t="s">
        <v>186</v>
      </c>
      <c r="M28" t="s">
        <v>73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46</v>
      </c>
      <c r="U28" t="s">
        <v>117</v>
      </c>
      <c r="V28" t="str">
        <f t="shared" si="0"/>
        <v>Valid</v>
      </c>
      <c r="W28">
        <f t="shared" si="1"/>
        <v>0</v>
      </c>
      <c r="Y28" t="str">
        <f t="shared" si="2"/>
        <v>OK</v>
      </c>
      <c r="Z28" t="str">
        <f t="shared" si="3"/>
        <v>OK</v>
      </c>
      <c r="AA28" t="str">
        <f t="shared" si="4"/>
        <v>OK</v>
      </c>
      <c r="AB28" t="str">
        <f>IF(OR(P28&lt;0,P28&gt;1),"Invalid Discount","Valid")</f>
        <v>Valid</v>
      </c>
      <c r="AC28" t="str">
        <f>IF(OR(AB28="Invalid Discount",V28="Invalid Shipping"),
"Invalid",
IF(OR(Y28="Missing Region",
Z28="Missing Ship Mode",
AA28="Missing Discount",
X28="Flagged for Review"),
"Warning",
"Clean"))</f>
        <v>Clean</v>
      </c>
      <c r="AD28">
        <f t="shared" si="5"/>
        <v>0.1</v>
      </c>
      <c r="AE28">
        <f>N28*O28*(1-AD28)</f>
        <v>2578.0680000000002</v>
      </c>
      <c r="AF28">
        <f>AE28-R28</f>
        <v>1050.5180000000003</v>
      </c>
      <c r="AG28" s="3">
        <f t="shared" si="6"/>
        <v>0.40748265755596835</v>
      </c>
      <c r="AH28" t="str">
        <f t="shared" si="7"/>
        <v>November</v>
      </c>
      <c r="AI28">
        <f t="shared" si="8"/>
        <v>2024</v>
      </c>
    </row>
    <row r="29" spans="1:35">
      <c r="A29" t="s">
        <v>187</v>
      </c>
      <c r="B29" s="2">
        <v>45929</v>
      </c>
      <c r="C29" s="2">
        <v>45935</v>
      </c>
      <c r="D29" t="s">
        <v>188</v>
      </c>
      <c r="E29" t="s">
        <v>67</v>
      </c>
      <c r="F29" t="s">
        <v>51</v>
      </c>
      <c r="G29" t="s">
        <v>68</v>
      </c>
      <c r="H29" t="s">
        <v>189</v>
      </c>
      <c r="I29" t="s">
        <v>190</v>
      </c>
      <c r="J29" t="s">
        <v>42</v>
      </c>
      <c r="K29" t="s">
        <v>43</v>
      </c>
      <c r="L29" t="s">
        <v>191</v>
      </c>
      <c r="M29" t="s">
        <v>45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169</v>
      </c>
      <c r="U29" t="s">
        <v>117</v>
      </c>
      <c r="V29" t="str">
        <f t="shared" si="0"/>
        <v>Valid</v>
      </c>
      <c r="W29">
        <f t="shared" si="1"/>
        <v>6</v>
      </c>
      <c r="Y29" t="str">
        <f t="shared" si="2"/>
        <v>OK</v>
      </c>
      <c r="Z29" t="str">
        <f t="shared" si="3"/>
        <v>OK</v>
      </c>
      <c r="AA29" t="str">
        <f t="shared" si="4"/>
        <v>OK</v>
      </c>
      <c r="AB29" t="str">
        <f>IF(OR(P29&lt;0,P29&gt;1),"Invalid Discount","Valid")</f>
        <v>Valid</v>
      </c>
      <c r="AC29" t="str">
        <f>IF(OR(AB29="Invalid Discount",V29="Invalid Shipping"),
"Invalid",
IF(OR(Y29="Missing Region",
Z29="Missing Ship Mode",
AA29="Missing Discount",
X29="Flagged for Review"),
"Warning",
"Clean"))</f>
        <v>Clean</v>
      </c>
      <c r="AD29">
        <f t="shared" si="5"/>
        <v>0.25</v>
      </c>
      <c r="AE29">
        <f>N29*O29*(1-AD29)</f>
        <v>6774.4124999999995</v>
      </c>
      <c r="AF29">
        <f>AE29-R29</f>
        <v>2064.0524999999998</v>
      </c>
      <c r="AG29" s="3">
        <f t="shared" si="6"/>
        <v>0.30468361647596748</v>
      </c>
      <c r="AH29" t="str">
        <f t="shared" si="7"/>
        <v>September</v>
      </c>
      <c r="AI29">
        <f t="shared" si="8"/>
        <v>2025</v>
      </c>
    </row>
    <row r="30" spans="1:35">
      <c r="A30" t="s">
        <v>192</v>
      </c>
      <c r="B30" s="2">
        <v>45576</v>
      </c>
      <c r="C30" s="2">
        <v>45583</v>
      </c>
      <c r="D30" t="s">
        <v>193</v>
      </c>
      <c r="E30" t="s">
        <v>76</v>
      </c>
      <c r="F30" t="s">
        <v>109</v>
      </c>
      <c r="G30" t="s">
        <v>77</v>
      </c>
      <c r="H30" t="s">
        <v>194</v>
      </c>
      <c r="I30" t="s">
        <v>195</v>
      </c>
      <c r="J30" t="s">
        <v>88</v>
      </c>
      <c r="K30" t="s">
        <v>185</v>
      </c>
      <c r="L30" t="s">
        <v>196</v>
      </c>
      <c r="M30" t="s">
        <v>45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116</v>
      </c>
      <c r="U30" t="s">
        <v>82</v>
      </c>
      <c r="V30" t="str">
        <f t="shared" si="0"/>
        <v>Valid</v>
      </c>
      <c r="W30">
        <f t="shared" si="1"/>
        <v>7</v>
      </c>
      <c r="Y30" t="str">
        <f t="shared" si="2"/>
        <v>OK</v>
      </c>
      <c r="Z30" t="str">
        <f t="shared" si="3"/>
        <v>OK</v>
      </c>
      <c r="AA30" t="str">
        <f t="shared" si="4"/>
        <v>OK</v>
      </c>
      <c r="AB30" t="str">
        <f>IF(OR(P30&lt;0,P30&gt;1),"Invalid Discount","Valid")</f>
        <v>Valid</v>
      </c>
      <c r="AC30" t="str">
        <f>IF(OR(AB30="Invalid Discount",V30="Invalid Shipping"),
"Invalid",
IF(OR(Y30="Missing Region",
Z30="Missing Ship Mode",
AA30="Missing Discount",
X30="Flagged for Review"),
"Warning",
"Clean"))</f>
        <v>Clean</v>
      </c>
      <c r="AD30">
        <f t="shared" si="5"/>
        <v>0.25</v>
      </c>
      <c r="AE30">
        <f>N30*O30*(1-AD30)</f>
        <v>2913.33</v>
      </c>
      <c r="AF30">
        <f>AE30-R30</f>
        <v>791</v>
      </c>
      <c r="AG30" s="3">
        <f t="shared" si="6"/>
        <v>0.27151060813570727</v>
      </c>
      <c r="AH30" t="str">
        <f t="shared" si="7"/>
        <v>October</v>
      </c>
      <c r="AI30">
        <f t="shared" si="8"/>
        <v>2024</v>
      </c>
    </row>
    <row r="31" spans="1:35">
      <c r="A31" t="s">
        <v>197</v>
      </c>
      <c r="B31" s="2">
        <v>45882</v>
      </c>
      <c r="C31" s="2">
        <v>45882</v>
      </c>
      <c r="D31" t="s">
        <v>198</v>
      </c>
      <c r="E31" t="s">
        <v>155</v>
      </c>
      <c r="F31" t="s">
        <v>109</v>
      </c>
      <c r="G31" t="s">
        <v>68</v>
      </c>
      <c r="H31" t="s">
        <v>199</v>
      </c>
      <c r="I31" t="s">
        <v>200</v>
      </c>
      <c r="J31" t="s">
        <v>88</v>
      </c>
      <c r="K31" t="s">
        <v>185</v>
      </c>
      <c r="L31" t="s">
        <v>201</v>
      </c>
      <c r="M31" t="s">
        <v>73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46</v>
      </c>
      <c r="U31" t="s">
        <v>47</v>
      </c>
      <c r="V31" t="str">
        <f t="shared" si="0"/>
        <v>Valid</v>
      </c>
      <c r="W31">
        <f t="shared" si="1"/>
        <v>0</v>
      </c>
      <c r="Y31" t="str">
        <f t="shared" si="2"/>
        <v>OK</v>
      </c>
      <c r="Z31" t="str">
        <f t="shared" si="3"/>
        <v>OK</v>
      </c>
      <c r="AA31" t="str">
        <f t="shared" si="4"/>
        <v>OK</v>
      </c>
      <c r="AB31" t="str">
        <f>IF(OR(P31&lt;0,P31&gt;1),"Invalid Discount","Valid")</f>
        <v>Valid</v>
      </c>
      <c r="AC31" t="str">
        <f>IF(OR(AB31="Invalid Discount",V31="Invalid Shipping"),
"Invalid",
IF(OR(Y31="Missing Region",
Z31="Missing Ship Mode",
AA31="Missing Discount",
X31="Flagged for Review"),
"Warning",
"Clean"))</f>
        <v>Clean</v>
      </c>
      <c r="AD31">
        <f t="shared" si="5"/>
        <v>0.15</v>
      </c>
      <c r="AE31">
        <f>N31*O31*(1-AD31)</f>
        <v>217.60849999999999</v>
      </c>
      <c r="AF31">
        <f>AE31-R31</f>
        <v>97.838499999999996</v>
      </c>
      <c r="AG31" s="3">
        <f t="shared" si="6"/>
        <v>0.44960789675035673</v>
      </c>
      <c r="AH31" t="str">
        <f t="shared" si="7"/>
        <v>August</v>
      </c>
      <c r="AI31">
        <f t="shared" si="8"/>
        <v>2025</v>
      </c>
    </row>
    <row r="32" spans="1:35">
      <c r="A32" t="s">
        <v>202</v>
      </c>
      <c r="B32" s="2">
        <v>45331</v>
      </c>
      <c r="C32" s="2">
        <v>45334</v>
      </c>
      <c r="D32" t="s">
        <v>203</v>
      </c>
      <c r="E32" t="s">
        <v>76</v>
      </c>
      <c r="F32" t="s">
        <v>104</v>
      </c>
      <c r="G32" t="s">
        <v>77</v>
      </c>
      <c r="H32" t="s">
        <v>204</v>
      </c>
      <c r="I32" t="s">
        <v>205</v>
      </c>
      <c r="J32" t="s">
        <v>42</v>
      </c>
      <c r="K32" t="s">
        <v>105</v>
      </c>
      <c r="L32" t="s">
        <v>206</v>
      </c>
      <c r="M32" t="s">
        <v>64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46</v>
      </c>
      <c r="U32" t="s">
        <v>47</v>
      </c>
      <c r="V32" t="str">
        <f t="shared" si="0"/>
        <v>Valid</v>
      </c>
      <c r="W32">
        <f t="shared" si="1"/>
        <v>3</v>
      </c>
      <c r="Y32" t="str">
        <f t="shared" si="2"/>
        <v>OK</v>
      </c>
      <c r="Z32" t="str">
        <f t="shared" si="3"/>
        <v>OK</v>
      </c>
      <c r="AA32" t="str">
        <f t="shared" si="4"/>
        <v>OK</v>
      </c>
      <c r="AB32" t="str">
        <f>IF(OR(P32&lt;0,P32&gt;1),"Invalid Discount","Valid")</f>
        <v>Valid</v>
      </c>
      <c r="AC32" t="str">
        <f>IF(OR(AB32="Invalid Discount",V32="Invalid Shipping"),
"Invalid",
IF(OR(Y32="Missing Region",
Z32="Missing Ship Mode",
AA32="Missing Discount",
X32="Flagged for Review"),
"Warning",
"Clean"))</f>
        <v>Clean</v>
      </c>
      <c r="AD32">
        <f t="shared" si="5"/>
        <v>0.1</v>
      </c>
      <c r="AE32">
        <f>N32*O32*(1-AD32)</f>
        <v>3079.5929999999998</v>
      </c>
      <c r="AF32">
        <f>AE32-R32</f>
        <v>1077.7029999999997</v>
      </c>
      <c r="AG32" s="3">
        <f t="shared" si="6"/>
        <v>0.34994981479695525</v>
      </c>
      <c r="AH32" t="str">
        <f t="shared" si="7"/>
        <v>February</v>
      </c>
      <c r="AI32">
        <f t="shared" si="8"/>
        <v>2024</v>
      </c>
    </row>
    <row r="33" spans="1:35">
      <c r="A33" t="s">
        <v>207</v>
      </c>
      <c r="B33" s="2">
        <v>45823</v>
      </c>
      <c r="C33" s="2">
        <v>45827</v>
      </c>
      <c r="D33" t="s">
        <v>208</v>
      </c>
      <c r="E33" t="s">
        <v>37</v>
      </c>
      <c r="F33" t="s">
        <v>51</v>
      </c>
      <c r="G33" t="s">
        <v>77</v>
      </c>
      <c r="H33" t="s">
        <v>86</v>
      </c>
      <c r="I33" t="s">
        <v>87</v>
      </c>
      <c r="J33" t="s">
        <v>42</v>
      </c>
      <c r="K33" t="s">
        <v>43</v>
      </c>
      <c r="L33" t="s">
        <v>209</v>
      </c>
      <c r="M33" t="s">
        <v>45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169</v>
      </c>
      <c r="U33" t="s">
        <v>117</v>
      </c>
      <c r="V33" t="str">
        <f t="shared" si="0"/>
        <v>Valid</v>
      </c>
      <c r="W33">
        <f t="shared" si="1"/>
        <v>4</v>
      </c>
      <c r="Y33" t="str">
        <f t="shared" si="2"/>
        <v>OK</v>
      </c>
      <c r="Z33" t="str">
        <f t="shared" si="3"/>
        <v>OK</v>
      </c>
      <c r="AA33" t="str">
        <f t="shared" si="4"/>
        <v>OK</v>
      </c>
      <c r="AB33" t="str">
        <f>IF(OR(P33&lt;0,P33&gt;1),"Invalid Discount","Valid")</f>
        <v>Valid</v>
      </c>
      <c r="AC33" t="str">
        <f>IF(OR(AB33="Invalid Discount",V33="Invalid Shipping"),
"Invalid",
IF(OR(Y33="Missing Region",
Z33="Missing Ship Mode",
AA33="Missing Discount",
X33="Flagged for Review"),
"Warning",
"Clean"))</f>
        <v>Clean</v>
      </c>
      <c r="AD33">
        <f t="shared" si="5"/>
        <v>0</v>
      </c>
      <c r="AE33">
        <f>N33*O33*(1-AD33)</f>
        <v>27832.95</v>
      </c>
      <c r="AF33">
        <f>AE33-R33</f>
        <v>10063.200000000001</v>
      </c>
      <c r="AG33" s="3">
        <f t="shared" si="6"/>
        <v>0.36155707533696574</v>
      </c>
      <c r="AH33" t="str">
        <f t="shared" si="7"/>
        <v>June</v>
      </c>
      <c r="AI33">
        <f t="shared" si="8"/>
        <v>2025</v>
      </c>
    </row>
    <row r="34" spans="1:35">
      <c r="A34" t="s">
        <v>210</v>
      </c>
      <c r="B34" s="2">
        <v>45618</v>
      </c>
      <c r="C34" s="2">
        <v>45622</v>
      </c>
      <c r="D34" t="s">
        <v>211</v>
      </c>
      <c r="E34" t="s">
        <v>142</v>
      </c>
      <c r="F34" t="s">
        <v>104</v>
      </c>
      <c r="G34" t="s">
        <v>68</v>
      </c>
      <c r="H34" t="s">
        <v>98</v>
      </c>
      <c r="I34" t="s">
        <v>99</v>
      </c>
      <c r="J34" t="s">
        <v>88</v>
      </c>
      <c r="K34" t="s">
        <v>185</v>
      </c>
      <c r="L34" t="s">
        <v>212</v>
      </c>
      <c r="M34" t="s">
        <v>45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46</v>
      </c>
      <c r="U34" t="s">
        <v>47</v>
      </c>
      <c r="V34" t="str">
        <f t="shared" si="0"/>
        <v>Valid</v>
      </c>
      <c r="W34">
        <f t="shared" si="1"/>
        <v>4</v>
      </c>
      <c r="Y34" t="str">
        <f t="shared" si="2"/>
        <v>OK</v>
      </c>
      <c r="Z34" t="str">
        <f t="shared" si="3"/>
        <v>OK</v>
      </c>
      <c r="AA34" t="str">
        <f t="shared" si="4"/>
        <v>Missing Discount</v>
      </c>
      <c r="AB34" t="str">
        <f>IF(OR(P34&lt;0,P34&gt;1),"Invalid Discount","Valid")</f>
        <v>Valid</v>
      </c>
      <c r="AC34" t="str">
        <f>IF(OR(AB34="Invalid Discount",V34="Invalid Shipping"),
"Invalid",
IF(OR(Y34="Missing Region",
Z34="Missing Ship Mode",
AA34="Missing Discount",
X34="Flagged for Review"),
"Warning",
"Clean"))</f>
        <v>Warning</v>
      </c>
      <c r="AD34">
        <f t="shared" si="5"/>
        <v>0</v>
      </c>
      <c r="AE34">
        <f>N34*O34*(1-AD34)</f>
        <v>12003.75</v>
      </c>
      <c r="AF34">
        <f>AE34-R34</f>
        <v>4473.83</v>
      </c>
      <c r="AG34" s="3">
        <f t="shared" si="6"/>
        <v>0.37270269707383108</v>
      </c>
      <c r="AH34" t="str">
        <f t="shared" si="7"/>
        <v>November</v>
      </c>
      <c r="AI34">
        <f t="shared" si="8"/>
        <v>2024</v>
      </c>
    </row>
    <row r="35" spans="1:35">
      <c r="A35" t="s">
        <v>213</v>
      </c>
      <c r="B35" s="2">
        <v>45495</v>
      </c>
      <c r="C35" s="2">
        <v>45500</v>
      </c>
      <c r="D35" t="s">
        <v>214</v>
      </c>
      <c r="E35" t="s">
        <v>128</v>
      </c>
      <c r="F35" t="s">
        <v>109</v>
      </c>
      <c r="G35" t="s">
        <v>77</v>
      </c>
      <c r="H35" t="s">
        <v>204</v>
      </c>
      <c r="I35" t="s">
        <v>205</v>
      </c>
      <c r="J35" t="s">
        <v>55</v>
      </c>
      <c r="K35" t="s">
        <v>56</v>
      </c>
      <c r="L35" t="s">
        <v>215</v>
      </c>
      <c r="M35" t="s">
        <v>58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46</v>
      </c>
      <c r="U35" t="s">
        <v>47</v>
      </c>
      <c r="V35" t="str">
        <f t="shared" si="0"/>
        <v>Valid</v>
      </c>
      <c r="W35">
        <f t="shared" si="1"/>
        <v>5</v>
      </c>
      <c r="Y35" t="str">
        <f t="shared" si="2"/>
        <v>OK</v>
      </c>
      <c r="Z35" t="str">
        <f t="shared" si="3"/>
        <v>OK</v>
      </c>
      <c r="AA35" t="str">
        <f t="shared" si="4"/>
        <v>OK</v>
      </c>
      <c r="AB35" t="str">
        <f>IF(OR(P35&lt;0,P35&gt;1),"Invalid Discount","Valid")</f>
        <v>Valid</v>
      </c>
      <c r="AC35" t="str">
        <f>IF(OR(AB35="Invalid Discount",V35="Invalid Shipping"),
"Invalid",
IF(OR(Y35="Missing Region",
Z35="Missing Ship Mode",
AA35="Missing Discount",
X35="Flagged for Review"),
"Warning",
"Clean"))</f>
        <v>Clean</v>
      </c>
      <c r="AD35">
        <f t="shared" si="5"/>
        <v>0.25</v>
      </c>
      <c r="AE35">
        <f>N35*O35*(1-AD35)</f>
        <v>2585.1525000000001</v>
      </c>
      <c r="AF35">
        <f>AE35-R35</f>
        <v>514.42250000000013</v>
      </c>
      <c r="AG35" s="3">
        <f t="shared" si="6"/>
        <v>0.19899116203009304</v>
      </c>
      <c r="AH35" t="str">
        <f t="shared" si="7"/>
        <v>July</v>
      </c>
      <c r="AI35">
        <f t="shared" si="8"/>
        <v>2024</v>
      </c>
    </row>
    <row r="36" spans="1:35">
      <c r="A36" t="s">
        <v>216</v>
      </c>
      <c r="B36" s="2">
        <v>45688</v>
      </c>
      <c r="C36" s="2">
        <v>45693</v>
      </c>
      <c r="D36" t="s">
        <v>217</v>
      </c>
      <c r="E36" t="s">
        <v>128</v>
      </c>
      <c r="F36" t="s">
        <v>109</v>
      </c>
      <c r="G36" t="s">
        <v>52</v>
      </c>
      <c r="H36" t="s">
        <v>113</v>
      </c>
      <c r="I36" t="s">
        <v>114</v>
      </c>
      <c r="J36" t="s">
        <v>55</v>
      </c>
      <c r="K36" t="s">
        <v>80</v>
      </c>
      <c r="L36" t="s">
        <v>218</v>
      </c>
      <c r="M36" t="s">
        <v>219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46</v>
      </c>
      <c r="U36" t="s">
        <v>47</v>
      </c>
      <c r="V36" t="str">
        <f t="shared" si="0"/>
        <v>Valid</v>
      </c>
      <c r="W36">
        <f t="shared" si="1"/>
        <v>5</v>
      </c>
      <c r="Y36" t="str">
        <f t="shared" si="2"/>
        <v>OK</v>
      </c>
      <c r="Z36" t="str">
        <f t="shared" si="3"/>
        <v>Missing Ship Mode</v>
      </c>
      <c r="AA36" t="str">
        <f t="shared" si="4"/>
        <v>OK</v>
      </c>
      <c r="AB36" t="str">
        <f>IF(OR(P36&lt;0,P36&gt;1),"Invalid Discount","Valid")</f>
        <v>Valid</v>
      </c>
      <c r="AC36" t="str">
        <f>IF(OR(AB36="Invalid Discount",V36="Invalid Shipping"),
"Invalid",
IF(OR(Y36="Missing Region",
Z36="Missing Ship Mode",
AA36="Missing Discount",
X36="Flagged for Review"),
"Warning",
"Clean"))</f>
        <v>Warning</v>
      </c>
      <c r="AD36">
        <f t="shared" si="5"/>
        <v>0.2</v>
      </c>
      <c r="AE36">
        <f>N36*O36*(1-AD36)</f>
        <v>6655.5039999999999</v>
      </c>
      <c r="AF36">
        <f>AE36-R36</f>
        <v>2315.2939999999999</v>
      </c>
      <c r="AG36" s="3">
        <f t="shared" si="6"/>
        <v>0.34787658455317583</v>
      </c>
      <c r="AH36" t="str">
        <f t="shared" si="7"/>
        <v>January</v>
      </c>
      <c r="AI36">
        <f t="shared" si="8"/>
        <v>2025</v>
      </c>
    </row>
    <row r="37" spans="1:35">
      <c r="A37" t="s">
        <v>220</v>
      </c>
      <c r="B37" s="2">
        <v>45441</v>
      </c>
      <c r="C37" s="2">
        <v>45441</v>
      </c>
      <c r="D37" t="s">
        <v>221</v>
      </c>
      <c r="E37" t="s">
        <v>146</v>
      </c>
      <c r="F37" t="s">
        <v>51</v>
      </c>
      <c r="G37" t="s">
        <v>77</v>
      </c>
      <c r="H37" t="s">
        <v>194</v>
      </c>
      <c r="I37" t="s">
        <v>195</v>
      </c>
      <c r="J37" t="s">
        <v>55</v>
      </c>
      <c r="K37" t="s">
        <v>172</v>
      </c>
      <c r="L37" t="s">
        <v>222</v>
      </c>
      <c r="M37" t="s">
        <v>45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125</v>
      </c>
      <c r="U37" t="s">
        <v>117</v>
      </c>
      <c r="V37" t="str">
        <f t="shared" si="0"/>
        <v>Valid</v>
      </c>
      <c r="W37">
        <f t="shared" si="1"/>
        <v>0</v>
      </c>
      <c r="Y37" t="str">
        <f t="shared" si="2"/>
        <v>OK</v>
      </c>
      <c r="Z37" t="str">
        <f t="shared" si="3"/>
        <v>OK</v>
      </c>
      <c r="AA37" t="str">
        <f t="shared" si="4"/>
        <v>OK</v>
      </c>
      <c r="AB37" t="str">
        <f>IF(OR(P37&lt;0,P37&gt;1),"Invalid Discount","Valid")</f>
        <v>Valid</v>
      </c>
      <c r="AC37" t="str">
        <f>IF(OR(AB37="Invalid Discount",V37="Invalid Shipping"),
"Invalid",
IF(OR(Y37="Missing Region",
Z37="Missing Ship Mode",
AA37="Missing Discount",
X37="Flagged for Review"),
"Warning",
"Clean"))</f>
        <v>Clean</v>
      </c>
      <c r="AD37">
        <f t="shared" si="5"/>
        <v>0.05</v>
      </c>
      <c r="AE37">
        <f>N37*O37*(1-AD37)</f>
        <v>19054.111999999997</v>
      </c>
      <c r="AF37">
        <f>AE37-R37</f>
        <v>3740.2819999999974</v>
      </c>
      <c r="AG37" s="3">
        <f t="shared" si="6"/>
        <v>0.19629789097492437</v>
      </c>
      <c r="AH37" t="str">
        <f t="shared" si="7"/>
        <v>May</v>
      </c>
      <c r="AI37">
        <f t="shared" si="8"/>
        <v>2024</v>
      </c>
    </row>
    <row r="38" spans="1:35">
      <c r="A38" t="s">
        <v>223</v>
      </c>
      <c r="B38" s="2">
        <v>45590</v>
      </c>
      <c r="C38" s="2">
        <v>45593</v>
      </c>
      <c r="D38" t="s">
        <v>224</v>
      </c>
      <c r="E38" t="s">
        <v>155</v>
      </c>
      <c r="F38" t="s">
        <v>104</v>
      </c>
      <c r="G38" t="s">
        <v>77</v>
      </c>
      <c r="H38" t="s">
        <v>78</v>
      </c>
      <c r="I38" t="s">
        <v>79</v>
      </c>
      <c r="J38" t="s">
        <v>55</v>
      </c>
      <c r="K38" t="s">
        <v>172</v>
      </c>
      <c r="L38" t="s">
        <v>225</v>
      </c>
      <c r="M38" t="s">
        <v>45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46</v>
      </c>
      <c r="U38" t="s">
        <v>117</v>
      </c>
      <c r="V38" t="str">
        <f t="shared" si="0"/>
        <v>Valid</v>
      </c>
      <c r="W38">
        <f t="shared" si="1"/>
        <v>3</v>
      </c>
      <c r="Y38" t="str">
        <f t="shared" si="2"/>
        <v>OK</v>
      </c>
      <c r="Z38" t="str">
        <f t="shared" si="3"/>
        <v>OK</v>
      </c>
      <c r="AA38" t="str">
        <f t="shared" si="4"/>
        <v>OK</v>
      </c>
      <c r="AB38" t="str">
        <f>IF(OR(P38&lt;0,P38&gt;1),"Invalid Discount","Valid")</f>
        <v>Valid</v>
      </c>
      <c r="AC38" t="str">
        <f>IF(OR(AB38="Invalid Discount",V38="Invalid Shipping"),
"Invalid",
IF(OR(Y38="Missing Region",
Z38="Missing Ship Mode",
AA38="Missing Discount",
X38="Flagged for Review"),
"Warning",
"Clean"))</f>
        <v>Clean</v>
      </c>
      <c r="AD38">
        <f t="shared" si="5"/>
        <v>0</v>
      </c>
      <c r="AE38">
        <f>N38*O38*(1-AD38)</f>
        <v>9379.41</v>
      </c>
      <c r="AF38">
        <f>AE38-R38</f>
        <v>2708.5599999999995</v>
      </c>
      <c r="AG38" s="3">
        <f t="shared" si="6"/>
        <v>0.28877722585962223</v>
      </c>
      <c r="AH38" t="str">
        <f t="shared" si="7"/>
        <v>October</v>
      </c>
      <c r="AI38">
        <f t="shared" si="8"/>
        <v>2024</v>
      </c>
    </row>
    <row r="39" spans="1:35">
      <c r="A39" t="s">
        <v>226</v>
      </c>
      <c r="B39" s="2">
        <v>45867</v>
      </c>
      <c r="C39" s="2">
        <v>45867</v>
      </c>
      <c r="D39" t="s">
        <v>227</v>
      </c>
      <c r="E39" t="s">
        <v>176</v>
      </c>
      <c r="F39" t="s">
        <v>38</v>
      </c>
      <c r="G39" t="s">
        <v>77</v>
      </c>
      <c r="H39" t="s">
        <v>78</v>
      </c>
      <c r="I39" t="s">
        <v>79</v>
      </c>
      <c r="J39" t="s">
        <v>88</v>
      </c>
      <c r="K39" t="s">
        <v>94</v>
      </c>
      <c r="L39" t="s">
        <v>228</v>
      </c>
      <c r="M39" t="s">
        <v>73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46</v>
      </c>
      <c r="U39" t="s">
        <v>47</v>
      </c>
      <c r="V39" t="str">
        <f t="shared" si="0"/>
        <v>Valid</v>
      </c>
      <c r="W39">
        <f t="shared" si="1"/>
        <v>0</v>
      </c>
      <c r="Y39" t="str">
        <f t="shared" si="2"/>
        <v>OK</v>
      </c>
      <c r="Z39" t="str">
        <f t="shared" si="3"/>
        <v>OK</v>
      </c>
      <c r="AA39" t="str">
        <f t="shared" si="4"/>
        <v>OK</v>
      </c>
      <c r="AB39" t="str">
        <f>IF(OR(P39&lt;0,P39&gt;1),"Invalid Discount","Valid")</f>
        <v>Valid</v>
      </c>
      <c r="AC39" t="str">
        <f>IF(OR(AB39="Invalid Discount",V39="Invalid Shipping"),
"Invalid",
IF(OR(Y39="Missing Region",
Z39="Missing Ship Mode",
AA39="Missing Discount",
X39="Flagged for Review"),
"Warning",
"Clean"))</f>
        <v>Clean</v>
      </c>
      <c r="AD39">
        <f t="shared" si="5"/>
        <v>0.2</v>
      </c>
      <c r="AE39">
        <f>N39*O39*(1-AD39)</f>
        <v>4248.1279999999997</v>
      </c>
      <c r="AF39">
        <f>AE39-R39</f>
        <v>927.03799999999956</v>
      </c>
      <c r="AG39" s="3">
        <f t="shared" si="6"/>
        <v>0.21822270892025844</v>
      </c>
      <c r="AH39" t="str">
        <f t="shared" si="7"/>
        <v>July</v>
      </c>
      <c r="AI39">
        <f t="shared" si="8"/>
        <v>2025</v>
      </c>
    </row>
    <row r="40" spans="1:35">
      <c r="A40" t="s">
        <v>229</v>
      </c>
      <c r="B40" s="2">
        <v>45460</v>
      </c>
      <c r="C40" s="2">
        <v>45465</v>
      </c>
      <c r="D40" t="s">
        <v>230</v>
      </c>
      <c r="E40" t="s">
        <v>142</v>
      </c>
      <c r="F40" t="s">
        <v>104</v>
      </c>
      <c r="G40" t="s">
        <v>77</v>
      </c>
      <c r="H40" t="s">
        <v>194</v>
      </c>
      <c r="I40" t="s">
        <v>195</v>
      </c>
      <c r="J40" t="s">
        <v>88</v>
      </c>
      <c r="K40" t="s">
        <v>185</v>
      </c>
      <c r="L40" t="s">
        <v>231</v>
      </c>
      <c r="M40" t="s">
        <v>64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46</v>
      </c>
      <c r="U40" t="s">
        <v>47</v>
      </c>
      <c r="V40" t="str">
        <f t="shared" si="0"/>
        <v>Valid</v>
      </c>
      <c r="W40">
        <f t="shared" si="1"/>
        <v>5</v>
      </c>
      <c r="Y40" t="str">
        <f t="shared" si="2"/>
        <v>OK</v>
      </c>
      <c r="Z40" t="str">
        <f t="shared" si="3"/>
        <v>OK</v>
      </c>
      <c r="AA40" t="str">
        <f t="shared" si="4"/>
        <v>OK</v>
      </c>
      <c r="AB40" t="str">
        <f>IF(OR(P40&lt;0,P40&gt;1),"Invalid Discount","Valid")</f>
        <v>Valid</v>
      </c>
      <c r="AC40" t="str">
        <f>IF(OR(AB40="Invalid Discount",V40="Invalid Shipping"),
"Invalid",
IF(OR(Y40="Missing Region",
Z40="Missing Ship Mode",
AA40="Missing Discount",
X40="Flagged for Review"),
"Warning",
"Clean"))</f>
        <v>Clean</v>
      </c>
      <c r="AD40">
        <f t="shared" si="5"/>
        <v>0.1</v>
      </c>
      <c r="AE40">
        <f>N40*O40*(1-AD40)</f>
        <v>13927.284</v>
      </c>
      <c r="AF40">
        <f>AE40-R40</f>
        <v>3422.4139999999989</v>
      </c>
      <c r="AG40" s="3">
        <f t="shared" si="6"/>
        <v>0.24573448778670692</v>
      </c>
      <c r="AH40" t="str">
        <f t="shared" si="7"/>
        <v>June</v>
      </c>
      <c r="AI40">
        <f t="shared" si="8"/>
        <v>2024</v>
      </c>
    </row>
    <row r="41" spans="1:35">
      <c r="A41" t="s">
        <v>232</v>
      </c>
      <c r="B41" s="2">
        <v>45637</v>
      </c>
      <c r="C41" s="2">
        <v>45637</v>
      </c>
      <c r="D41" t="s">
        <v>233</v>
      </c>
      <c r="E41" t="s">
        <v>50</v>
      </c>
      <c r="F41" t="s">
        <v>51</v>
      </c>
      <c r="G41" t="s">
        <v>77</v>
      </c>
      <c r="H41" t="s">
        <v>86</v>
      </c>
      <c r="I41" t="s">
        <v>87</v>
      </c>
      <c r="J41" t="s">
        <v>88</v>
      </c>
      <c r="K41" t="s">
        <v>94</v>
      </c>
      <c r="L41" t="s">
        <v>234</v>
      </c>
      <c r="M41" t="s">
        <v>64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125</v>
      </c>
      <c r="U41" t="s">
        <v>117</v>
      </c>
      <c r="V41" t="str">
        <f t="shared" si="0"/>
        <v>Valid</v>
      </c>
      <c r="W41">
        <f t="shared" si="1"/>
        <v>0</v>
      </c>
      <c r="Y41" t="str">
        <f t="shared" si="2"/>
        <v>OK</v>
      </c>
      <c r="Z41" t="str">
        <f t="shared" si="3"/>
        <v>OK</v>
      </c>
      <c r="AA41" t="str">
        <f t="shared" si="4"/>
        <v>OK</v>
      </c>
      <c r="AB41" t="str">
        <f>IF(OR(P41&lt;0,P41&gt;1),"Invalid Discount","Valid")</f>
        <v>Valid</v>
      </c>
      <c r="AC41" t="str">
        <f>IF(OR(AB41="Invalid Discount",V41="Invalid Shipping"),
"Invalid",
IF(OR(Y41="Missing Region",
Z41="Missing Ship Mode",
AA41="Missing Discount",
X41="Flagged for Review"),
"Warning",
"Clean"))</f>
        <v>Clean</v>
      </c>
      <c r="AD41">
        <f t="shared" si="5"/>
        <v>0.1</v>
      </c>
      <c r="AE41">
        <f>N41*O41*(1-AD41)</f>
        <v>4935.3120000000008</v>
      </c>
      <c r="AF41">
        <f>AE41-R41</f>
        <v>1560.5420000000008</v>
      </c>
      <c r="AG41" s="3">
        <f t="shared" si="6"/>
        <v>0.31619925954022776</v>
      </c>
      <c r="AH41" t="str">
        <f t="shared" si="7"/>
        <v>December</v>
      </c>
      <c r="AI41">
        <f t="shared" si="8"/>
        <v>2024</v>
      </c>
    </row>
    <row r="42" spans="1:35">
      <c r="A42" t="s">
        <v>235</v>
      </c>
      <c r="B42" s="2">
        <v>45575</v>
      </c>
      <c r="C42" s="2">
        <v>45581</v>
      </c>
      <c r="D42" t="s">
        <v>236</v>
      </c>
      <c r="E42" t="s">
        <v>61</v>
      </c>
      <c r="F42" t="s">
        <v>109</v>
      </c>
      <c r="G42" t="s">
        <v>77</v>
      </c>
      <c r="H42" t="s">
        <v>40</v>
      </c>
      <c r="I42" t="s">
        <v>123</v>
      </c>
      <c r="J42" t="s">
        <v>88</v>
      </c>
      <c r="K42" t="s">
        <v>94</v>
      </c>
      <c r="L42" t="s">
        <v>237</v>
      </c>
      <c r="M42" t="s">
        <v>73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46</v>
      </c>
      <c r="U42" t="s">
        <v>47</v>
      </c>
      <c r="V42" t="str">
        <f t="shared" si="0"/>
        <v>Valid</v>
      </c>
      <c r="W42">
        <f t="shared" si="1"/>
        <v>6</v>
      </c>
      <c r="Y42" t="str">
        <f t="shared" si="2"/>
        <v>OK</v>
      </c>
      <c r="Z42" t="str">
        <f t="shared" si="3"/>
        <v>OK</v>
      </c>
      <c r="AA42" t="str">
        <f t="shared" si="4"/>
        <v>OK</v>
      </c>
      <c r="AB42" t="str">
        <f>IF(OR(P42&lt;0,P42&gt;1),"Invalid Discount","Valid")</f>
        <v>Valid</v>
      </c>
      <c r="AC42" t="str">
        <f>IF(OR(AB42="Invalid Discount",V42="Invalid Shipping"),
"Invalid",
IF(OR(Y42="Missing Region",
Z42="Missing Ship Mode",
AA42="Missing Discount",
X42="Flagged for Review"),
"Warning",
"Clean"))</f>
        <v>Clean</v>
      </c>
      <c r="AD42">
        <f t="shared" si="5"/>
        <v>0.2</v>
      </c>
      <c r="AE42">
        <f>N42*O42*(1-AD42)</f>
        <v>14051.912</v>
      </c>
      <c r="AF42">
        <f>AE42-R42</f>
        <v>2061.5419999999995</v>
      </c>
      <c r="AG42" s="3">
        <f t="shared" si="6"/>
        <v>0.14670900301681361</v>
      </c>
      <c r="AH42" t="str">
        <f t="shared" si="7"/>
        <v>October</v>
      </c>
      <c r="AI42">
        <f t="shared" si="8"/>
        <v>2024</v>
      </c>
    </row>
    <row r="43" spans="1:35">
      <c r="A43" t="s">
        <v>238</v>
      </c>
      <c r="B43" s="2">
        <v>45363</v>
      </c>
      <c r="C43" s="2">
        <v>45368</v>
      </c>
      <c r="D43" t="s">
        <v>239</v>
      </c>
      <c r="E43" t="s">
        <v>142</v>
      </c>
      <c r="F43" t="s">
        <v>51</v>
      </c>
      <c r="G43" t="s">
        <v>52</v>
      </c>
      <c r="H43" t="s">
        <v>53</v>
      </c>
      <c r="I43" t="s">
        <v>54</v>
      </c>
      <c r="J43" t="s">
        <v>55</v>
      </c>
      <c r="K43" t="s">
        <v>172</v>
      </c>
      <c r="L43" t="s">
        <v>240</v>
      </c>
      <c r="M43" t="s">
        <v>58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125</v>
      </c>
      <c r="U43" t="s">
        <v>82</v>
      </c>
      <c r="V43" t="str">
        <f t="shared" si="0"/>
        <v>Valid</v>
      </c>
      <c r="W43">
        <f t="shared" si="1"/>
        <v>5</v>
      </c>
      <c r="Y43" t="str">
        <f t="shared" si="2"/>
        <v>OK</v>
      </c>
      <c r="Z43" t="str">
        <f t="shared" si="3"/>
        <v>OK</v>
      </c>
      <c r="AA43" t="str">
        <f t="shared" si="4"/>
        <v>OK</v>
      </c>
      <c r="AB43" t="str">
        <f>IF(OR(P43&lt;0,P43&gt;1),"Invalid Discount","Valid")</f>
        <v>Valid</v>
      </c>
      <c r="AC43" t="str">
        <f>IF(OR(AB43="Invalid Discount",V43="Invalid Shipping"),
"Invalid",
IF(OR(Y43="Missing Region",
Z43="Missing Ship Mode",
AA43="Missing Discount",
X43="Flagged for Review"),
"Warning",
"Clean"))</f>
        <v>Clean</v>
      </c>
      <c r="AD43">
        <f t="shared" si="5"/>
        <v>0</v>
      </c>
      <c r="AE43">
        <f>N43*O43*(1-AD43)</f>
        <v>6846.48</v>
      </c>
      <c r="AF43">
        <f>AE43-R43</f>
        <v>2606.5899999999992</v>
      </c>
      <c r="AG43" s="3">
        <f t="shared" si="6"/>
        <v>0.38071972750961069</v>
      </c>
      <c r="AH43" t="str">
        <f t="shared" si="7"/>
        <v>March</v>
      </c>
      <c r="AI43">
        <f t="shared" si="8"/>
        <v>2024</v>
      </c>
    </row>
    <row r="44" spans="1:35">
      <c r="A44" t="s">
        <v>241</v>
      </c>
      <c r="B44" s="2">
        <v>45940</v>
      </c>
      <c r="C44" s="2">
        <v>45945</v>
      </c>
      <c r="D44" t="s">
        <v>242</v>
      </c>
      <c r="E44" t="s">
        <v>67</v>
      </c>
      <c r="F44" t="s">
        <v>104</v>
      </c>
      <c r="G44" t="s">
        <v>52</v>
      </c>
      <c r="H44" t="s">
        <v>243</v>
      </c>
      <c r="I44" t="s">
        <v>244</v>
      </c>
      <c r="J44" t="s">
        <v>88</v>
      </c>
      <c r="K44" t="s">
        <v>185</v>
      </c>
      <c r="L44" t="s">
        <v>245</v>
      </c>
      <c r="M44" t="s">
        <v>73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46</v>
      </c>
      <c r="U44" t="s">
        <v>47</v>
      </c>
      <c r="V44" t="str">
        <f t="shared" si="0"/>
        <v>Valid</v>
      </c>
      <c r="W44">
        <f t="shared" si="1"/>
        <v>5</v>
      </c>
      <c r="Y44" t="str">
        <f t="shared" si="2"/>
        <v>OK</v>
      </c>
      <c r="Z44" t="str">
        <f t="shared" si="3"/>
        <v>OK</v>
      </c>
      <c r="AA44" t="str">
        <f t="shared" si="4"/>
        <v>OK</v>
      </c>
      <c r="AB44" t="str">
        <f>IF(OR(P44&lt;0,P44&gt;1),"Invalid Discount","Valid")</f>
        <v>Valid</v>
      </c>
      <c r="AC44" t="str">
        <f>IF(OR(AB44="Invalid Discount",V44="Invalid Shipping"),
"Invalid",
IF(OR(Y44="Missing Region",
Z44="Missing Ship Mode",
AA44="Missing Discount",
X44="Flagged for Review"),
"Warning",
"Clean"))</f>
        <v>Clean</v>
      </c>
      <c r="AD44">
        <f t="shared" si="5"/>
        <v>0.05</v>
      </c>
      <c r="AE44">
        <f>N44*O44*(1-AD44)</f>
        <v>7447.0119999999997</v>
      </c>
      <c r="AF44">
        <f>AE44-R44</f>
        <v>2950.7919999999995</v>
      </c>
      <c r="AG44" s="3">
        <f t="shared" si="6"/>
        <v>0.39623838393170302</v>
      </c>
      <c r="AH44" t="str">
        <f t="shared" si="7"/>
        <v>October</v>
      </c>
      <c r="AI44">
        <f t="shared" si="8"/>
        <v>2025</v>
      </c>
    </row>
    <row r="45" spans="1:35">
      <c r="A45" t="s">
        <v>246</v>
      </c>
      <c r="B45" s="2">
        <v>45481</v>
      </c>
      <c r="C45" s="2">
        <v>45487</v>
      </c>
      <c r="D45" t="s">
        <v>247</v>
      </c>
      <c r="E45" t="s">
        <v>128</v>
      </c>
      <c r="F45" t="s">
        <v>51</v>
      </c>
      <c r="G45" t="s">
        <v>52</v>
      </c>
      <c r="H45" t="s">
        <v>53</v>
      </c>
      <c r="I45" t="s">
        <v>54</v>
      </c>
      <c r="J45" t="s">
        <v>55</v>
      </c>
      <c r="K45" t="s">
        <v>71</v>
      </c>
      <c r="L45" t="s">
        <v>248</v>
      </c>
      <c r="M45" t="s">
        <v>58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46</v>
      </c>
      <c r="U45" t="s">
        <v>47</v>
      </c>
      <c r="V45" t="str">
        <f t="shared" si="0"/>
        <v>Valid</v>
      </c>
      <c r="W45">
        <f t="shared" si="1"/>
        <v>6</v>
      </c>
      <c r="Y45" t="str">
        <f t="shared" si="2"/>
        <v>OK</v>
      </c>
      <c r="Z45" t="str">
        <f t="shared" si="3"/>
        <v>OK</v>
      </c>
      <c r="AA45" t="str">
        <f t="shared" si="4"/>
        <v>OK</v>
      </c>
      <c r="AB45" t="str">
        <f>IF(OR(P45&lt;0,P45&gt;1),"Invalid Discount","Valid")</f>
        <v>Valid</v>
      </c>
      <c r="AC45" t="str">
        <f>IF(OR(AB45="Invalid Discount",V45="Invalid Shipping"),
"Invalid",
IF(OR(Y45="Missing Region",
Z45="Missing Ship Mode",
AA45="Missing Discount",
X45="Flagged for Review"),
"Warning",
"Clean"))</f>
        <v>Clean</v>
      </c>
      <c r="AD45">
        <f t="shared" si="5"/>
        <v>0</v>
      </c>
      <c r="AE45">
        <f>N45*O45*(1-AD45)</f>
        <v>3030.69</v>
      </c>
      <c r="AF45">
        <f>AE45-R45</f>
        <v>1309.6100000000001</v>
      </c>
      <c r="AG45" s="3">
        <f t="shared" si="6"/>
        <v>0.43211611877163292</v>
      </c>
      <c r="AH45" t="str">
        <f t="shared" si="7"/>
        <v>July</v>
      </c>
      <c r="AI45">
        <f t="shared" si="8"/>
        <v>2024</v>
      </c>
    </row>
    <row r="46" spans="1:35">
      <c r="A46" t="s">
        <v>249</v>
      </c>
      <c r="B46" s="2">
        <v>45465</v>
      </c>
      <c r="C46" s="2">
        <v>45468</v>
      </c>
      <c r="D46" t="s">
        <v>250</v>
      </c>
      <c r="E46" t="s">
        <v>155</v>
      </c>
      <c r="F46" t="s">
        <v>51</v>
      </c>
      <c r="G46" t="s">
        <v>39</v>
      </c>
      <c r="H46" t="s">
        <v>251</v>
      </c>
      <c r="I46" t="s">
        <v>252</v>
      </c>
      <c r="J46" t="s">
        <v>55</v>
      </c>
      <c r="K46" t="s">
        <v>80</v>
      </c>
      <c r="L46" t="s">
        <v>253</v>
      </c>
      <c r="M46" t="s">
        <v>73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46</v>
      </c>
      <c r="U46" t="s">
        <v>47</v>
      </c>
      <c r="V46" t="str">
        <f t="shared" si="0"/>
        <v>Valid</v>
      </c>
      <c r="W46">
        <f t="shared" si="1"/>
        <v>3</v>
      </c>
      <c r="Y46" t="str">
        <f t="shared" si="2"/>
        <v>OK</v>
      </c>
      <c r="Z46" t="str">
        <f t="shared" si="3"/>
        <v>OK</v>
      </c>
      <c r="AA46" t="str">
        <f t="shared" si="4"/>
        <v>OK</v>
      </c>
      <c r="AB46" t="str">
        <f>IF(OR(P46&lt;0,P46&gt;1),"Invalid Discount","Valid")</f>
        <v>Valid</v>
      </c>
      <c r="AC46" t="str">
        <f>IF(OR(AB46="Invalid Discount",V46="Invalid Shipping"),
"Invalid",
IF(OR(Y46="Missing Region",
Z46="Missing Ship Mode",
AA46="Missing Discount",
X46="Flagged for Review"),
"Warning",
"Clean"))</f>
        <v>Clean</v>
      </c>
      <c r="AD46">
        <f t="shared" si="5"/>
        <v>0.1</v>
      </c>
      <c r="AE46">
        <f>N46*O46*(1-AD46)</f>
        <v>26971.137000000002</v>
      </c>
      <c r="AF46">
        <f>AE46-R46</f>
        <v>9594.9370000000017</v>
      </c>
      <c r="AG46" s="3">
        <f t="shared" si="6"/>
        <v>0.35574833200394929</v>
      </c>
      <c r="AH46" t="str">
        <f t="shared" si="7"/>
        <v>June</v>
      </c>
      <c r="AI46">
        <f t="shared" si="8"/>
        <v>2024</v>
      </c>
    </row>
    <row r="47" spans="1:35">
      <c r="A47" t="s">
        <v>254</v>
      </c>
      <c r="B47" s="2">
        <v>45309</v>
      </c>
      <c r="C47" s="2">
        <v>45315</v>
      </c>
      <c r="D47" t="s">
        <v>255</v>
      </c>
      <c r="E47" t="s">
        <v>61</v>
      </c>
      <c r="F47" t="s">
        <v>109</v>
      </c>
      <c r="G47" t="s">
        <v>52</v>
      </c>
      <c r="H47" t="s">
        <v>159</v>
      </c>
      <c r="I47" t="s">
        <v>160</v>
      </c>
      <c r="J47" t="s">
        <v>42</v>
      </c>
      <c r="K47" t="s">
        <v>62</v>
      </c>
      <c r="L47" t="s">
        <v>256</v>
      </c>
      <c r="M47" t="s">
        <v>45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125</v>
      </c>
      <c r="U47" t="s">
        <v>117</v>
      </c>
      <c r="V47" t="str">
        <f t="shared" si="0"/>
        <v>Valid</v>
      </c>
      <c r="W47">
        <f t="shared" si="1"/>
        <v>6</v>
      </c>
      <c r="Y47" t="str">
        <f t="shared" si="2"/>
        <v>OK</v>
      </c>
      <c r="Z47" t="str">
        <f t="shared" si="3"/>
        <v>OK</v>
      </c>
      <c r="AA47" t="str">
        <f t="shared" si="4"/>
        <v>OK</v>
      </c>
      <c r="AB47" t="str">
        <f>IF(OR(P47&lt;0,P47&gt;1),"Invalid Discount","Valid")</f>
        <v>Valid</v>
      </c>
      <c r="AC47" t="str">
        <f>IF(OR(AB47="Invalid Discount",V47="Invalid Shipping"),
"Invalid",
IF(OR(Y47="Missing Region",
Z47="Missing Ship Mode",
AA47="Missing Discount",
X47="Flagged for Review"),
"Warning",
"Clean"))</f>
        <v>Clean</v>
      </c>
      <c r="AD47">
        <f t="shared" si="5"/>
        <v>0.05</v>
      </c>
      <c r="AE47">
        <f>N47*O47*(1-AD47)</f>
        <v>29851.432000000001</v>
      </c>
      <c r="AF47">
        <f>AE47-R47</f>
        <v>12363.952000000001</v>
      </c>
      <c r="AG47" s="3">
        <f t="shared" si="6"/>
        <v>0.41418287739094062</v>
      </c>
      <c r="AH47" t="str">
        <f t="shared" si="7"/>
        <v>January</v>
      </c>
      <c r="AI47">
        <f t="shared" si="8"/>
        <v>2024</v>
      </c>
    </row>
    <row r="48" spans="1:35">
      <c r="A48" t="s">
        <v>257</v>
      </c>
      <c r="B48" s="2">
        <v>45492</v>
      </c>
      <c r="C48" s="2">
        <v>45492</v>
      </c>
      <c r="D48" t="s">
        <v>258</v>
      </c>
      <c r="E48" t="s">
        <v>76</v>
      </c>
      <c r="F48" t="s">
        <v>51</v>
      </c>
      <c r="G48" t="s">
        <v>68</v>
      </c>
      <c r="H48" t="s">
        <v>199</v>
      </c>
      <c r="I48" t="s">
        <v>200</v>
      </c>
      <c r="J48" t="s">
        <v>55</v>
      </c>
      <c r="K48" t="s">
        <v>172</v>
      </c>
      <c r="L48" t="s">
        <v>259</v>
      </c>
      <c r="M48" t="s">
        <v>73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116</v>
      </c>
      <c r="U48" t="s">
        <v>117</v>
      </c>
      <c r="V48" t="str">
        <f t="shared" si="0"/>
        <v>Valid</v>
      </c>
      <c r="W48">
        <f t="shared" si="1"/>
        <v>0</v>
      </c>
      <c r="Y48" t="str">
        <f t="shared" si="2"/>
        <v>OK</v>
      </c>
      <c r="Z48" t="str">
        <f t="shared" si="3"/>
        <v>OK</v>
      </c>
      <c r="AA48" t="str">
        <f t="shared" si="4"/>
        <v>OK</v>
      </c>
      <c r="AB48" t="str">
        <f>IF(OR(P48&lt;0,P48&gt;1),"Invalid Discount","Valid")</f>
        <v>Valid</v>
      </c>
      <c r="AC48" t="str">
        <f>IF(OR(AB48="Invalid Discount",V48="Invalid Shipping"),
"Invalid",
IF(OR(Y48="Missing Region",
Z48="Missing Ship Mode",
AA48="Missing Discount",
X48="Flagged for Review"),
"Warning",
"Clean"))</f>
        <v>Clean</v>
      </c>
      <c r="AD48">
        <f t="shared" si="5"/>
        <v>0.25</v>
      </c>
      <c r="AE48">
        <f>N48*O48*(1-AD48)</f>
        <v>16110.8325</v>
      </c>
      <c r="AF48">
        <f>AE48-R48</f>
        <v>5430.8024999999998</v>
      </c>
      <c r="AG48" s="3">
        <f t="shared" si="6"/>
        <v>0.33709012243780695</v>
      </c>
      <c r="AH48" t="str">
        <f t="shared" si="7"/>
        <v>July</v>
      </c>
      <c r="AI48">
        <f t="shared" si="8"/>
        <v>2024</v>
      </c>
    </row>
    <row r="49" spans="1:35">
      <c r="A49" t="s">
        <v>260</v>
      </c>
      <c r="B49" s="2">
        <v>45516</v>
      </c>
      <c r="C49" s="2">
        <v>45516</v>
      </c>
      <c r="D49" t="s">
        <v>261</v>
      </c>
      <c r="E49" t="s">
        <v>132</v>
      </c>
      <c r="F49" t="s">
        <v>104</v>
      </c>
      <c r="G49" t="s">
        <v>68</v>
      </c>
      <c r="H49" t="s">
        <v>262</v>
      </c>
      <c r="I49" t="s">
        <v>263</v>
      </c>
      <c r="J49" t="s">
        <v>42</v>
      </c>
      <c r="K49" t="s">
        <v>138</v>
      </c>
      <c r="L49" t="s">
        <v>264</v>
      </c>
      <c r="M49" t="s">
        <v>73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46</v>
      </c>
      <c r="U49" t="s">
        <v>47</v>
      </c>
      <c r="V49" t="str">
        <f t="shared" si="0"/>
        <v>Valid</v>
      </c>
      <c r="W49">
        <f t="shared" si="1"/>
        <v>0</v>
      </c>
      <c r="Y49" t="str">
        <f t="shared" si="2"/>
        <v>OK</v>
      </c>
      <c r="Z49" t="str">
        <f t="shared" si="3"/>
        <v>OK</v>
      </c>
      <c r="AA49" t="str">
        <f t="shared" si="4"/>
        <v>OK</v>
      </c>
      <c r="AB49" t="str">
        <f>IF(OR(P49&lt;0,P49&gt;1),"Invalid Discount","Valid")</f>
        <v>Valid</v>
      </c>
      <c r="AC49" t="str">
        <f>IF(OR(AB49="Invalid Discount",V49="Invalid Shipping"),
"Invalid",
IF(OR(Y49="Missing Region",
Z49="Missing Ship Mode",
AA49="Missing Discount",
X49="Flagged for Review"),
"Warning",
"Clean"))</f>
        <v>Clean</v>
      </c>
      <c r="AD49">
        <f t="shared" si="5"/>
        <v>0.1</v>
      </c>
      <c r="AE49">
        <f>N49*O49*(1-AD49)</f>
        <v>17606.232</v>
      </c>
      <c r="AF49">
        <f>AE49-R49</f>
        <v>5167.2720000000008</v>
      </c>
      <c r="AG49" s="3">
        <f t="shared" si="6"/>
        <v>0.29349107747756592</v>
      </c>
      <c r="AH49" t="str">
        <f t="shared" si="7"/>
        <v>August</v>
      </c>
      <c r="AI49">
        <f t="shared" si="8"/>
        <v>2024</v>
      </c>
    </row>
    <row r="50" spans="1:35">
      <c r="A50" t="s">
        <v>265</v>
      </c>
      <c r="B50" s="2">
        <v>45687</v>
      </c>
      <c r="C50" s="2">
        <v>45693</v>
      </c>
      <c r="D50" t="s">
        <v>266</v>
      </c>
      <c r="E50" t="s">
        <v>93</v>
      </c>
      <c r="F50" t="s">
        <v>104</v>
      </c>
      <c r="G50" t="s">
        <v>77</v>
      </c>
      <c r="H50" t="s">
        <v>78</v>
      </c>
      <c r="I50" t="s">
        <v>79</v>
      </c>
      <c r="J50" t="s">
        <v>55</v>
      </c>
      <c r="K50" t="s">
        <v>80</v>
      </c>
      <c r="L50" t="s">
        <v>267</v>
      </c>
      <c r="M50" t="s">
        <v>45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46</v>
      </c>
      <c r="U50" t="s">
        <v>47</v>
      </c>
      <c r="V50" t="str">
        <f t="shared" si="0"/>
        <v>Valid</v>
      </c>
      <c r="W50">
        <f t="shared" si="1"/>
        <v>6</v>
      </c>
      <c r="Y50" t="str">
        <f t="shared" si="2"/>
        <v>OK</v>
      </c>
      <c r="Z50" t="str">
        <f t="shared" si="3"/>
        <v>OK</v>
      </c>
      <c r="AA50" t="str">
        <f t="shared" si="4"/>
        <v>OK</v>
      </c>
      <c r="AB50" t="str">
        <f>IF(OR(P50&lt;0,P50&gt;1),"Invalid Discount","Valid")</f>
        <v>Valid</v>
      </c>
      <c r="AC50" t="str">
        <f>IF(OR(AB50="Invalid Discount",V50="Invalid Shipping"),
"Invalid",
IF(OR(Y50="Missing Region",
Z50="Missing Ship Mode",
AA50="Missing Discount",
X50="Flagged for Review"),
"Warning",
"Clean"))</f>
        <v>Clean</v>
      </c>
      <c r="AD50">
        <f t="shared" si="5"/>
        <v>0</v>
      </c>
      <c r="AE50">
        <f>N50*O50*(1-AD50)</f>
        <v>28445.62</v>
      </c>
      <c r="AF50">
        <f>AE50-R50</f>
        <v>7507.0299999999988</v>
      </c>
      <c r="AG50" s="3">
        <f t="shared" si="6"/>
        <v>0.26390811660986818</v>
      </c>
      <c r="AH50" t="str">
        <f t="shared" si="7"/>
        <v>January</v>
      </c>
      <c r="AI50">
        <f t="shared" si="8"/>
        <v>2025</v>
      </c>
    </row>
    <row r="51" spans="1:35">
      <c r="A51" t="s">
        <v>268</v>
      </c>
      <c r="B51" s="2">
        <v>45388</v>
      </c>
      <c r="C51" s="2">
        <v>45395</v>
      </c>
      <c r="D51" t="s">
        <v>269</v>
      </c>
      <c r="E51" t="s">
        <v>142</v>
      </c>
      <c r="F51" t="s">
        <v>109</v>
      </c>
      <c r="G51" t="s">
        <v>39</v>
      </c>
      <c r="H51" t="s">
        <v>150</v>
      </c>
      <c r="I51" t="s">
        <v>151</v>
      </c>
      <c r="J51" t="s">
        <v>88</v>
      </c>
      <c r="K51" t="s">
        <v>94</v>
      </c>
      <c r="L51" t="s">
        <v>270</v>
      </c>
      <c r="M51" t="s">
        <v>45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46</v>
      </c>
      <c r="U51" t="s">
        <v>47</v>
      </c>
      <c r="V51" t="str">
        <f t="shared" si="0"/>
        <v>Valid</v>
      </c>
      <c r="W51">
        <f t="shared" si="1"/>
        <v>7</v>
      </c>
      <c r="Y51" t="str">
        <f t="shared" si="2"/>
        <v>OK</v>
      </c>
      <c r="Z51" t="str">
        <f t="shared" si="3"/>
        <v>OK</v>
      </c>
      <c r="AA51" t="str">
        <f t="shared" si="4"/>
        <v>OK</v>
      </c>
      <c r="AB51" t="str">
        <f>IF(OR(P51&lt;0,P51&gt;1),"Invalid Discount","Valid")</f>
        <v>Valid</v>
      </c>
      <c r="AC51" t="str">
        <f>IF(OR(AB51="Invalid Discount",V51="Invalid Shipping"),
"Invalid",
IF(OR(Y51="Missing Region",
Z51="Missing Ship Mode",
AA51="Missing Discount",
X51="Flagged for Review"),
"Warning",
"Clean"))</f>
        <v>Clean</v>
      </c>
      <c r="AD51">
        <f t="shared" si="5"/>
        <v>0.05</v>
      </c>
      <c r="AE51">
        <f>N51*O51*(1-AD51)</f>
        <v>6772.5404999999992</v>
      </c>
      <c r="AF51">
        <f>AE51-R51</f>
        <v>1017.0804999999991</v>
      </c>
      <c r="AG51" s="3">
        <f t="shared" si="6"/>
        <v>0.15017710119267641</v>
      </c>
      <c r="AH51" t="str">
        <f t="shared" si="7"/>
        <v>April</v>
      </c>
      <c r="AI51">
        <f t="shared" si="8"/>
        <v>2024</v>
      </c>
    </row>
    <row r="52" spans="1:35">
      <c r="A52" t="s">
        <v>271</v>
      </c>
      <c r="B52" s="2">
        <v>45788</v>
      </c>
      <c r="C52" s="2">
        <v>45796</v>
      </c>
      <c r="D52" t="s">
        <v>272</v>
      </c>
      <c r="E52" t="s">
        <v>146</v>
      </c>
      <c r="F52" t="s">
        <v>38</v>
      </c>
      <c r="G52" t="s">
        <v>52</v>
      </c>
      <c r="H52" t="s">
        <v>113</v>
      </c>
      <c r="I52" t="s">
        <v>114</v>
      </c>
      <c r="J52" t="s">
        <v>88</v>
      </c>
      <c r="K52" t="s">
        <v>94</v>
      </c>
      <c r="L52" t="s">
        <v>273</v>
      </c>
      <c r="M52" t="s">
        <v>73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46</v>
      </c>
      <c r="U52" t="s">
        <v>47</v>
      </c>
      <c r="V52" t="str">
        <f t="shared" si="0"/>
        <v>Valid</v>
      </c>
      <c r="W52">
        <f t="shared" si="1"/>
        <v>8</v>
      </c>
      <c r="Y52" t="str">
        <f t="shared" si="2"/>
        <v>OK</v>
      </c>
      <c r="Z52" t="str">
        <f t="shared" si="3"/>
        <v>OK</v>
      </c>
      <c r="AA52" t="str">
        <f t="shared" si="4"/>
        <v>OK</v>
      </c>
      <c r="AB52" t="str">
        <f>IF(OR(P52&lt;0,P52&gt;1),"Invalid Discount","Valid")</f>
        <v>Valid</v>
      </c>
      <c r="AC52" t="str">
        <f>IF(OR(AB52="Invalid Discount",V52="Invalid Shipping"),
"Invalid",
IF(OR(Y52="Missing Region",
Z52="Missing Ship Mode",
AA52="Missing Discount",
X52="Flagged for Review"),
"Warning",
"Clean"))</f>
        <v>Clean</v>
      </c>
      <c r="AD52">
        <f t="shared" si="5"/>
        <v>0.15</v>
      </c>
      <c r="AE52">
        <f>N52*O52*(1-AD52)</f>
        <v>2025.38</v>
      </c>
      <c r="AF52">
        <f>AE52-R52</f>
        <v>884.73</v>
      </c>
      <c r="AG52" s="3">
        <f t="shared" si="6"/>
        <v>0.43682173221815163</v>
      </c>
      <c r="AH52" t="str">
        <f t="shared" si="7"/>
        <v>May</v>
      </c>
      <c r="AI52">
        <f t="shared" si="8"/>
        <v>2025</v>
      </c>
    </row>
    <row r="53" spans="1:35">
      <c r="A53" t="s">
        <v>274</v>
      </c>
      <c r="B53" s="2">
        <v>45406</v>
      </c>
      <c r="C53" s="2">
        <v>45411</v>
      </c>
      <c r="D53" t="s">
        <v>275</v>
      </c>
      <c r="E53" t="s">
        <v>76</v>
      </c>
      <c r="F53" t="s">
        <v>104</v>
      </c>
      <c r="G53" t="s">
        <v>68</v>
      </c>
      <c r="H53" t="s">
        <v>69</v>
      </c>
      <c r="I53" t="s">
        <v>70</v>
      </c>
      <c r="J53" t="s">
        <v>42</v>
      </c>
      <c r="K53" t="s">
        <v>62</v>
      </c>
      <c r="L53" t="s">
        <v>276</v>
      </c>
      <c r="M53" t="s">
        <v>73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46</v>
      </c>
      <c r="U53" t="s">
        <v>47</v>
      </c>
      <c r="V53" t="str">
        <f t="shared" si="0"/>
        <v>Valid</v>
      </c>
      <c r="W53">
        <f t="shared" si="1"/>
        <v>5</v>
      </c>
      <c r="Y53" t="str">
        <f t="shared" si="2"/>
        <v>OK</v>
      </c>
      <c r="Z53" t="str">
        <f t="shared" si="3"/>
        <v>OK</v>
      </c>
      <c r="AA53" t="str">
        <f t="shared" si="4"/>
        <v>OK</v>
      </c>
      <c r="AB53" t="str">
        <f>IF(OR(P53&lt;0,P53&gt;1),"Invalid Discount","Valid")</f>
        <v>Valid</v>
      </c>
      <c r="AC53" t="str">
        <f>IF(OR(AB53="Invalid Discount",V53="Invalid Shipping"),
"Invalid",
IF(OR(Y53="Missing Region",
Z53="Missing Ship Mode",
AA53="Missing Discount",
X53="Flagged for Review"),
"Warning",
"Clean"))</f>
        <v>Clean</v>
      </c>
      <c r="AD53">
        <f t="shared" si="5"/>
        <v>0</v>
      </c>
      <c r="AE53">
        <f>N53*O53*(1-AD53)</f>
        <v>9168.48</v>
      </c>
      <c r="AF53">
        <f>AE53-R53</f>
        <v>1728.7099999999991</v>
      </c>
      <c r="AG53" s="3">
        <f t="shared" si="6"/>
        <v>0.18854924698532355</v>
      </c>
      <c r="AH53" t="str">
        <f t="shared" si="7"/>
        <v>April</v>
      </c>
      <c r="AI53">
        <f t="shared" si="8"/>
        <v>2024</v>
      </c>
    </row>
    <row r="54" spans="1:35">
      <c r="A54" t="s">
        <v>277</v>
      </c>
      <c r="B54" s="2">
        <v>45591</v>
      </c>
      <c r="C54" s="2">
        <v>45593</v>
      </c>
      <c r="D54" t="s">
        <v>278</v>
      </c>
      <c r="E54" t="s">
        <v>279</v>
      </c>
      <c r="F54" t="s">
        <v>51</v>
      </c>
      <c r="G54" t="s">
        <v>39</v>
      </c>
      <c r="H54" t="s">
        <v>40</v>
      </c>
      <c r="I54" t="s">
        <v>41</v>
      </c>
      <c r="J54" t="s">
        <v>55</v>
      </c>
      <c r="K54" t="s">
        <v>80</v>
      </c>
      <c r="L54" t="s">
        <v>280</v>
      </c>
      <c r="M54" t="s">
        <v>64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169</v>
      </c>
      <c r="U54" t="s">
        <v>82</v>
      </c>
      <c r="V54" t="str">
        <f t="shared" si="0"/>
        <v>Valid</v>
      </c>
      <c r="W54">
        <f t="shared" si="1"/>
        <v>2</v>
      </c>
      <c r="Y54" t="str">
        <f t="shared" si="2"/>
        <v>OK</v>
      </c>
      <c r="Z54" t="str">
        <f t="shared" si="3"/>
        <v>OK</v>
      </c>
      <c r="AA54" t="str">
        <f t="shared" si="4"/>
        <v>OK</v>
      </c>
      <c r="AB54" t="str">
        <f>IF(OR(P54&lt;0,P54&gt;1),"Invalid Discount","Valid")</f>
        <v>Valid</v>
      </c>
      <c r="AC54" t="str">
        <f>IF(OR(AB54="Invalid Discount",V54="Invalid Shipping"),
"Invalid",
IF(OR(Y54="Missing Region",
Z54="Missing Ship Mode",
AA54="Missing Discount",
X54="Flagged for Review"),
"Warning",
"Clean"))</f>
        <v>Clean</v>
      </c>
      <c r="AD54">
        <f t="shared" si="5"/>
        <v>0</v>
      </c>
      <c r="AE54">
        <f>N54*O54*(1-AD54)</f>
        <v>12596.670000000002</v>
      </c>
      <c r="AF54">
        <f>AE54-R54</f>
        <v>1993.380000000001</v>
      </c>
      <c r="AG54" s="3">
        <f t="shared" si="6"/>
        <v>0.15824658421630483</v>
      </c>
      <c r="AH54" t="str">
        <f t="shared" si="7"/>
        <v>October</v>
      </c>
      <c r="AI54">
        <f t="shared" si="8"/>
        <v>2024</v>
      </c>
    </row>
    <row r="55" spans="1:35">
      <c r="A55" t="s">
        <v>281</v>
      </c>
      <c r="B55" s="2">
        <v>45747</v>
      </c>
      <c r="C55" s="2">
        <v>45747</v>
      </c>
      <c r="D55" t="s">
        <v>282</v>
      </c>
      <c r="E55" t="s">
        <v>279</v>
      </c>
      <c r="F55" t="s">
        <v>109</v>
      </c>
      <c r="G55" t="s">
        <v>77</v>
      </c>
      <c r="H55" t="s">
        <v>194</v>
      </c>
      <c r="I55" t="s">
        <v>195</v>
      </c>
      <c r="J55" t="s">
        <v>42</v>
      </c>
      <c r="K55" t="s">
        <v>138</v>
      </c>
      <c r="L55" t="s">
        <v>283</v>
      </c>
      <c r="M55" t="s">
        <v>64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46</v>
      </c>
      <c r="U55" t="s">
        <v>47</v>
      </c>
      <c r="V55" t="str">
        <f t="shared" si="0"/>
        <v>Valid</v>
      </c>
      <c r="W55">
        <f t="shared" si="1"/>
        <v>0</v>
      </c>
      <c r="Y55" t="str">
        <f t="shared" si="2"/>
        <v>OK</v>
      </c>
      <c r="Z55" t="str">
        <f t="shared" si="3"/>
        <v>OK</v>
      </c>
      <c r="AA55" t="str">
        <f t="shared" si="4"/>
        <v>OK</v>
      </c>
      <c r="AB55" t="str">
        <f>IF(OR(P55&lt;0,P55&gt;1),"Invalid Discount","Valid")</f>
        <v>Valid</v>
      </c>
      <c r="AC55" t="str">
        <f>IF(OR(AB55="Invalid Discount",V55="Invalid Shipping"),
"Invalid",
IF(OR(Y55="Missing Region",
Z55="Missing Ship Mode",
AA55="Missing Discount",
X55="Flagged for Review"),
"Warning",
"Clean"))</f>
        <v>Clean</v>
      </c>
      <c r="AD55">
        <f t="shared" si="5"/>
        <v>0.15</v>
      </c>
      <c r="AE55">
        <f>N55*O55*(1-AD55)</f>
        <v>5131.7475000000004</v>
      </c>
      <c r="AF55">
        <f>AE55-R55</f>
        <v>2293.0675000000006</v>
      </c>
      <c r="AG55" s="3">
        <f t="shared" si="6"/>
        <v>0.44683950252813498</v>
      </c>
      <c r="AH55" t="str">
        <f t="shared" si="7"/>
        <v>March</v>
      </c>
      <c r="AI55">
        <f t="shared" si="8"/>
        <v>2025</v>
      </c>
    </row>
    <row r="56" spans="1:35">
      <c r="A56" t="s">
        <v>284</v>
      </c>
      <c r="B56" s="2">
        <v>45807</v>
      </c>
      <c r="C56" s="2">
        <v>45810</v>
      </c>
      <c r="D56" t="s">
        <v>285</v>
      </c>
      <c r="E56" t="s">
        <v>67</v>
      </c>
      <c r="F56" t="s">
        <v>104</v>
      </c>
      <c r="G56" t="s">
        <v>68</v>
      </c>
      <c r="H56" t="s">
        <v>262</v>
      </c>
      <c r="I56" t="s">
        <v>263</v>
      </c>
      <c r="J56" t="s">
        <v>42</v>
      </c>
      <c r="K56" t="s">
        <v>105</v>
      </c>
      <c r="L56" t="s">
        <v>286</v>
      </c>
      <c r="M56" t="s">
        <v>58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169</v>
      </c>
      <c r="U56" t="s">
        <v>82</v>
      </c>
      <c r="V56" t="str">
        <f t="shared" si="0"/>
        <v>Valid</v>
      </c>
      <c r="W56">
        <f t="shared" si="1"/>
        <v>3</v>
      </c>
      <c r="Y56" t="str">
        <f t="shared" si="2"/>
        <v>OK</v>
      </c>
      <c r="Z56" t="str">
        <f t="shared" si="3"/>
        <v>OK</v>
      </c>
      <c r="AA56" t="str">
        <f t="shared" si="4"/>
        <v>OK</v>
      </c>
      <c r="AB56" t="str">
        <f>IF(OR(P56&lt;0,P56&gt;1),"Invalid Discount","Valid")</f>
        <v>Valid</v>
      </c>
      <c r="AC56" t="str">
        <f>IF(OR(AB56="Invalid Discount",V56="Invalid Shipping"),
"Invalid",
IF(OR(Y56="Missing Region",
Z56="Missing Ship Mode",
AA56="Missing Discount",
X56="Flagged for Review"),
"Warning",
"Clean"))</f>
        <v>Clean</v>
      </c>
      <c r="AD56">
        <f t="shared" si="5"/>
        <v>0.1</v>
      </c>
      <c r="AE56">
        <f>N56*O56*(1-AD56)</f>
        <v>3415.4639999999999</v>
      </c>
      <c r="AF56">
        <f>AE56-R56</f>
        <v>1422.2339999999999</v>
      </c>
      <c r="AG56" s="3">
        <f t="shared" si="6"/>
        <v>0.4164101861416194</v>
      </c>
      <c r="AH56" t="str">
        <f t="shared" si="7"/>
        <v>May</v>
      </c>
      <c r="AI56">
        <f t="shared" si="8"/>
        <v>2025</v>
      </c>
    </row>
    <row r="57" spans="1:35">
      <c r="A57" t="s">
        <v>287</v>
      </c>
      <c r="B57" s="2">
        <v>45839</v>
      </c>
      <c r="C57" s="2">
        <v>45841</v>
      </c>
      <c r="D57" t="s">
        <v>288</v>
      </c>
      <c r="E57" t="s">
        <v>50</v>
      </c>
      <c r="F57" t="s">
        <v>51</v>
      </c>
      <c r="G57" t="s">
        <v>68</v>
      </c>
      <c r="H57" t="s">
        <v>98</v>
      </c>
      <c r="I57" t="s">
        <v>99</v>
      </c>
      <c r="J57" t="s">
        <v>88</v>
      </c>
      <c r="K57" t="s">
        <v>289</v>
      </c>
      <c r="L57" t="s">
        <v>290</v>
      </c>
      <c r="M57" t="s">
        <v>58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46</v>
      </c>
      <c r="U57" t="s">
        <v>47</v>
      </c>
      <c r="V57" t="str">
        <f t="shared" si="0"/>
        <v>Valid</v>
      </c>
      <c r="W57">
        <f t="shared" si="1"/>
        <v>2</v>
      </c>
      <c r="Y57" t="str">
        <f t="shared" si="2"/>
        <v>OK</v>
      </c>
      <c r="Z57" t="str">
        <f t="shared" si="3"/>
        <v>OK</v>
      </c>
      <c r="AA57" t="str">
        <f t="shared" si="4"/>
        <v>OK</v>
      </c>
      <c r="AB57" t="str">
        <f>IF(OR(P57&lt;0,P57&gt;1),"Invalid Discount","Valid")</f>
        <v>Valid</v>
      </c>
      <c r="AC57" t="str">
        <f>IF(OR(AB57="Invalid Discount",V57="Invalid Shipping"),
"Invalid",
IF(OR(Y57="Missing Region",
Z57="Missing Ship Mode",
AA57="Missing Discount",
X57="Flagged for Review"),
"Warning",
"Clean"))</f>
        <v>Clean</v>
      </c>
      <c r="AD57">
        <f t="shared" si="5"/>
        <v>0.25</v>
      </c>
      <c r="AE57">
        <f>N57*O57*(1-AD57)</f>
        <v>3411.54</v>
      </c>
      <c r="AF57">
        <f>AE57-R57</f>
        <v>608.40999999999985</v>
      </c>
      <c r="AG57" s="3">
        <f t="shared" si="6"/>
        <v>0.17833881472883209</v>
      </c>
      <c r="AH57" t="str">
        <f t="shared" si="7"/>
        <v>July</v>
      </c>
      <c r="AI57">
        <f t="shared" si="8"/>
        <v>2025</v>
      </c>
    </row>
    <row r="58" spans="1:35">
      <c r="A58" t="s">
        <v>291</v>
      </c>
      <c r="B58" s="2">
        <v>45662</v>
      </c>
      <c r="C58" s="2">
        <v>45663</v>
      </c>
      <c r="D58" t="s">
        <v>292</v>
      </c>
      <c r="E58" t="s">
        <v>37</v>
      </c>
      <c r="F58" t="s">
        <v>38</v>
      </c>
      <c r="G58" t="s">
        <v>68</v>
      </c>
      <c r="H58" t="s">
        <v>189</v>
      </c>
      <c r="I58" t="s">
        <v>190</v>
      </c>
      <c r="J58" t="s">
        <v>42</v>
      </c>
      <c r="K58" t="s">
        <v>167</v>
      </c>
      <c r="L58" t="s">
        <v>293</v>
      </c>
      <c r="M58" t="s">
        <v>45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116</v>
      </c>
      <c r="U58" t="s">
        <v>82</v>
      </c>
      <c r="V58" t="str">
        <f t="shared" si="0"/>
        <v>Valid</v>
      </c>
      <c r="W58">
        <f t="shared" si="1"/>
        <v>1</v>
      </c>
      <c r="Y58" t="str">
        <f t="shared" si="2"/>
        <v>OK</v>
      </c>
      <c r="Z58" t="str">
        <f t="shared" si="3"/>
        <v>OK</v>
      </c>
      <c r="AA58" t="str">
        <f t="shared" si="4"/>
        <v>OK</v>
      </c>
      <c r="AB58" t="str">
        <f>IF(OR(P58&lt;0,P58&gt;1),"Invalid Discount","Valid")</f>
        <v>Valid</v>
      </c>
      <c r="AC58" t="str">
        <f>IF(OR(AB58="Invalid Discount",V58="Invalid Shipping"),
"Invalid",
IF(OR(Y58="Missing Region",
Z58="Missing Ship Mode",
AA58="Missing Discount",
X58="Flagged for Review"),
"Warning",
"Clean"))</f>
        <v>Clean</v>
      </c>
      <c r="AD58">
        <f t="shared" si="5"/>
        <v>0</v>
      </c>
      <c r="AE58">
        <f>N58*O58*(1-AD58)</f>
        <v>9466.83</v>
      </c>
      <c r="AF58">
        <f>AE58-R58</f>
        <v>2909</v>
      </c>
      <c r="AG58" s="3">
        <f t="shared" si="6"/>
        <v>0.30728343067320318</v>
      </c>
      <c r="AH58" t="str">
        <f t="shared" si="7"/>
        <v>January</v>
      </c>
      <c r="AI58">
        <f t="shared" si="8"/>
        <v>2025</v>
      </c>
    </row>
    <row r="59" spans="1:35">
      <c r="A59" t="s">
        <v>294</v>
      </c>
      <c r="B59" s="2">
        <v>45329</v>
      </c>
      <c r="C59" s="2">
        <v>45337</v>
      </c>
      <c r="D59" t="s">
        <v>295</v>
      </c>
      <c r="E59" t="s">
        <v>128</v>
      </c>
      <c r="F59" t="s">
        <v>38</v>
      </c>
      <c r="G59" t="s">
        <v>77</v>
      </c>
      <c r="H59" t="s">
        <v>204</v>
      </c>
      <c r="I59" t="s">
        <v>205</v>
      </c>
      <c r="J59" t="s">
        <v>55</v>
      </c>
      <c r="K59" t="s">
        <v>80</v>
      </c>
      <c r="L59" t="s">
        <v>296</v>
      </c>
      <c r="M59" t="s">
        <v>58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46</v>
      </c>
      <c r="U59" t="s">
        <v>47</v>
      </c>
      <c r="V59" t="str">
        <f t="shared" si="0"/>
        <v>Valid</v>
      </c>
      <c r="W59">
        <f t="shared" si="1"/>
        <v>8</v>
      </c>
      <c r="Y59" t="str">
        <f t="shared" si="2"/>
        <v>OK</v>
      </c>
      <c r="Z59" t="str">
        <f t="shared" si="3"/>
        <v>OK</v>
      </c>
      <c r="AA59" t="str">
        <f t="shared" si="4"/>
        <v>OK</v>
      </c>
      <c r="AB59" t="str">
        <f>IF(OR(P59&lt;0,P59&gt;1),"Invalid Discount","Valid")</f>
        <v>Valid</v>
      </c>
      <c r="AC59" t="str">
        <f>IF(OR(AB59="Invalid Discount",V59="Invalid Shipping"),
"Invalid",
IF(OR(Y59="Missing Region",
Z59="Missing Ship Mode",
AA59="Missing Discount",
X59="Flagged for Review"),
"Warning",
"Clean"))</f>
        <v>Clean</v>
      </c>
      <c r="AD59">
        <f t="shared" si="5"/>
        <v>0</v>
      </c>
      <c r="AE59">
        <f>N59*O59*(1-AD59)</f>
        <v>1279.3499999999999</v>
      </c>
      <c r="AF59">
        <f>AE59-R59</f>
        <v>187.80999999999995</v>
      </c>
      <c r="AG59" s="3">
        <f t="shared" si="6"/>
        <v>0.14680110993864068</v>
      </c>
      <c r="AH59" t="str">
        <f t="shared" si="7"/>
        <v>February</v>
      </c>
      <c r="AI59">
        <f t="shared" si="8"/>
        <v>2024</v>
      </c>
    </row>
    <row r="60" spans="1:35">
      <c r="A60" t="s">
        <v>297</v>
      </c>
      <c r="B60" s="2">
        <v>45536</v>
      </c>
      <c r="C60" s="2">
        <v>45542</v>
      </c>
      <c r="D60" t="s">
        <v>298</v>
      </c>
      <c r="E60" t="s">
        <v>61</v>
      </c>
      <c r="F60" t="s">
        <v>109</v>
      </c>
      <c r="G60" t="s">
        <v>39</v>
      </c>
      <c r="H60" t="s">
        <v>40</v>
      </c>
      <c r="I60" t="s">
        <v>41</v>
      </c>
      <c r="J60" t="s">
        <v>42</v>
      </c>
      <c r="K60" t="s">
        <v>138</v>
      </c>
      <c r="L60" t="s">
        <v>299</v>
      </c>
      <c r="M60" t="s">
        <v>219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125</v>
      </c>
      <c r="U60" t="s">
        <v>117</v>
      </c>
      <c r="V60" t="str">
        <f t="shared" si="0"/>
        <v>Valid</v>
      </c>
      <c r="W60">
        <f t="shared" si="1"/>
        <v>6</v>
      </c>
      <c r="Y60" t="str">
        <f t="shared" si="2"/>
        <v>OK</v>
      </c>
      <c r="Z60" t="str">
        <f t="shared" si="3"/>
        <v>Missing Ship Mode</v>
      </c>
      <c r="AA60" t="str">
        <f t="shared" si="4"/>
        <v>OK</v>
      </c>
      <c r="AB60" t="str">
        <f>IF(OR(P60&lt;0,P60&gt;1),"Invalid Discount","Valid")</f>
        <v>Valid</v>
      </c>
      <c r="AC60" t="str">
        <f>IF(OR(AB60="Invalid Discount",V60="Invalid Shipping"),
"Invalid",
IF(OR(Y60="Missing Region",
Z60="Missing Ship Mode",
AA60="Missing Discount",
X60="Flagged for Review"),
"Warning",
"Clean"))</f>
        <v>Warning</v>
      </c>
      <c r="AD60">
        <f t="shared" si="5"/>
        <v>0.1</v>
      </c>
      <c r="AE60">
        <f>N60*O60*(1-AD60)</f>
        <v>11254.788</v>
      </c>
      <c r="AF60">
        <f>AE60-R60</f>
        <v>4676.7280000000001</v>
      </c>
      <c r="AG60" s="3">
        <f t="shared" si="6"/>
        <v>0.41553230500654476</v>
      </c>
      <c r="AH60" t="str">
        <f t="shared" si="7"/>
        <v>September</v>
      </c>
      <c r="AI60">
        <f t="shared" si="8"/>
        <v>2024</v>
      </c>
    </row>
    <row r="61" spans="1:35">
      <c r="A61" t="s">
        <v>300</v>
      </c>
      <c r="B61" s="2">
        <v>45493</v>
      </c>
      <c r="C61" s="2">
        <v>45498</v>
      </c>
      <c r="D61" t="s">
        <v>301</v>
      </c>
      <c r="E61" t="s">
        <v>128</v>
      </c>
      <c r="F61" t="s">
        <v>104</v>
      </c>
      <c r="G61" t="s">
        <v>52</v>
      </c>
      <c r="H61" t="s">
        <v>180</v>
      </c>
      <c r="I61" t="s">
        <v>181</v>
      </c>
      <c r="J61" t="s">
        <v>42</v>
      </c>
      <c r="K61" t="s">
        <v>105</v>
      </c>
      <c r="L61" t="s">
        <v>302</v>
      </c>
      <c r="M61" t="s">
        <v>58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46</v>
      </c>
      <c r="U61" t="s">
        <v>82</v>
      </c>
      <c r="V61" t="str">
        <f t="shared" si="0"/>
        <v>Valid</v>
      </c>
      <c r="W61">
        <f t="shared" si="1"/>
        <v>5</v>
      </c>
      <c r="Y61" t="str">
        <f t="shared" si="2"/>
        <v>OK</v>
      </c>
      <c r="Z61" t="str">
        <f t="shared" si="3"/>
        <v>OK</v>
      </c>
      <c r="AA61" t="str">
        <f t="shared" si="4"/>
        <v>OK</v>
      </c>
      <c r="AB61" t="str">
        <f>IF(OR(P61&lt;0,P61&gt;1),"Invalid Discount","Valid")</f>
        <v>Valid</v>
      </c>
      <c r="AC61" t="str">
        <f>IF(OR(AB61="Invalid Discount",V61="Invalid Shipping"),
"Invalid",
IF(OR(Y61="Missing Region",
Z61="Missing Ship Mode",
AA61="Missing Discount",
X61="Flagged for Review"),
"Warning",
"Clean"))</f>
        <v>Clean</v>
      </c>
      <c r="AD61">
        <f t="shared" si="5"/>
        <v>0.2</v>
      </c>
      <c r="AE61">
        <f>N61*O61*(1-AD61)</f>
        <v>16535.400000000001</v>
      </c>
      <c r="AF61">
        <f>AE61-R61</f>
        <v>3545.1900000000023</v>
      </c>
      <c r="AG61" s="3">
        <f t="shared" si="6"/>
        <v>0.21440001451431487</v>
      </c>
      <c r="AH61" t="str">
        <f t="shared" si="7"/>
        <v>July</v>
      </c>
      <c r="AI61">
        <f t="shared" si="8"/>
        <v>2024</v>
      </c>
    </row>
    <row r="62" spans="1:35">
      <c r="A62" t="s">
        <v>303</v>
      </c>
      <c r="B62" s="2">
        <v>45486</v>
      </c>
      <c r="C62" s="2">
        <v>45492</v>
      </c>
      <c r="D62" t="s">
        <v>304</v>
      </c>
      <c r="E62" t="s">
        <v>76</v>
      </c>
      <c r="F62" t="s">
        <v>104</v>
      </c>
      <c r="G62" t="s">
        <v>52</v>
      </c>
      <c r="H62" t="s">
        <v>180</v>
      </c>
      <c r="I62" t="s">
        <v>181</v>
      </c>
      <c r="J62" t="s">
        <v>42</v>
      </c>
      <c r="K62" t="s">
        <v>105</v>
      </c>
      <c r="L62" t="s">
        <v>305</v>
      </c>
      <c r="M62" t="s">
        <v>58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116</v>
      </c>
      <c r="U62" t="s">
        <v>82</v>
      </c>
      <c r="V62" t="str">
        <f t="shared" si="0"/>
        <v>Valid</v>
      </c>
      <c r="W62">
        <f t="shared" si="1"/>
        <v>6</v>
      </c>
      <c r="Y62" t="str">
        <f t="shared" si="2"/>
        <v>OK</v>
      </c>
      <c r="Z62" t="str">
        <f t="shared" si="3"/>
        <v>OK</v>
      </c>
      <c r="AA62" t="str">
        <f t="shared" si="4"/>
        <v>OK</v>
      </c>
      <c r="AB62" t="str">
        <f>IF(OR(P62&lt;0,P62&gt;1),"Invalid Discount","Valid")</f>
        <v>Valid</v>
      </c>
      <c r="AC62" t="str">
        <f>IF(OR(AB62="Invalid Discount",V62="Invalid Shipping"),
"Invalid",
IF(OR(Y62="Missing Region",
Z62="Missing Ship Mode",
AA62="Missing Discount",
X62="Flagged for Review"),
"Warning",
"Clean"))</f>
        <v>Clean</v>
      </c>
      <c r="AD62">
        <f t="shared" si="5"/>
        <v>0.2</v>
      </c>
      <c r="AE62">
        <f>N62*O62*(1-AD62)</f>
        <v>661.82400000000007</v>
      </c>
      <c r="AF62">
        <f>AE62-R62</f>
        <v>180.35400000000004</v>
      </c>
      <c r="AG62" s="3">
        <f t="shared" si="6"/>
        <v>0.27251051639106472</v>
      </c>
      <c r="AH62" t="str">
        <f t="shared" si="7"/>
        <v>July</v>
      </c>
      <c r="AI62">
        <f t="shared" si="8"/>
        <v>2024</v>
      </c>
    </row>
    <row r="63" spans="1:35">
      <c r="A63" t="s">
        <v>306</v>
      </c>
      <c r="B63" s="2">
        <v>45398</v>
      </c>
      <c r="C63" s="2">
        <v>45398</v>
      </c>
      <c r="D63" t="s">
        <v>307</v>
      </c>
      <c r="E63" t="s">
        <v>85</v>
      </c>
      <c r="F63" t="s">
        <v>109</v>
      </c>
      <c r="G63" t="s">
        <v>52</v>
      </c>
      <c r="H63" t="s">
        <v>159</v>
      </c>
      <c r="I63" t="s">
        <v>160</v>
      </c>
      <c r="J63" t="s">
        <v>55</v>
      </c>
      <c r="K63" t="s">
        <v>172</v>
      </c>
      <c r="L63" t="s">
        <v>308</v>
      </c>
      <c r="M63" t="s">
        <v>73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46</v>
      </c>
      <c r="U63" t="s">
        <v>47</v>
      </c>
      <c r="V63" t="str">
        <f t="shared" si="0"/>
        <v>Valid</v>
      </c>
      <c r="W63">
        <f t="shared" si="1"/>
        <v>0</v>
      </c>
      <c r="Y63" t="str">
        <f t="shared" si="2"/>
        <v>OK</v>
      </c>
      <c r="Z63" t="str">
        <f t="shared" si="3"/>
        <v>OK</v>
      </c>
      <c r="AA63" t="str">
        <f t="shared" si="4"/>
        <v>OK</v>
      </c>
      <c r="AB63" t="str">
        <f>IF(OR(P63&lt;0,P63&gt;1),"Invalid Discount","Valid")</f>
        <v>Valid</v>
      </c>
      <c r="AC63" t="str">
        <f>IF(OR(AB63="Invalid Discount",V63="Invalid Shipping"),
"Invalid",
IF(OR(Y63="Missing Region",
Z63="Missing Ship Mode",
AA63="Missing Discount",
X63="Flagged for Review"),
"Warning",
"Clean"))</f>
        <v>Clean</v>
      </c>
      <c r="AD63">
        <f t="shared" si="5"/>
        <v>0</v>
      </c>
      <c r="AE63">
        <f>N63*O63*(1-AD63)</f>
        <v>949.59</v>
      </c>
      <c r="AF63">
        <f>AE63-R63</f>
        <v>198.34000000000003</v>
      </c>
      <c r="AG63" s="3">
        <f t="shared" si="6"/>
        <v>0.20886909087079689</v>
      </c>
      <c r="AH63" t="str">
        <f t="shared" si="7"/>
        <v>April</v>
      </c>
      <c r="AI63">
        <f t="shared" si="8"/>
        <v>2024</v>
      </c>
    </row>
    <row r="64" spans="1:35">
      <c r="A64" t="s">
        <v>309</v>
      </c>
      <c r="B64" s="2">
        <v>45595</v>
      </c>
      <c r="C64" s="2">
        <v>45598</v>
      </c>
      <c r="D64" t="s">
        <v>310</v>
      </c>
      <c r="E64" t="s">
        <v>146</v>
      </c>
      <c r="F64" t="s">
        <v>109</v>
      </c>
      <c r="G64" t="s">
        <v>39</v>
      </c>
      <c r="H64" t="s">
        <v>40</v>
      </c>
      <c r="I64" t="s">
        <v>41</v>
      </c>
      <c r="J64" t="s">
        <v>88</v>
      </c>
      <c r="K64" t="s">
        <v>185</v>
      </c>
      <c r="L64" t="s">
        <v>311</v>
      </c>
      <c r="M64" t="s">
        <v>73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46</v>
      </c>
      <c r="U64" t="s">
        <v>47</v>
      </c>
      <c r="V64" t="str">
        <f t="shared" si="0"/>
        <v>Valid</v>
      </c>
      <c r="W64">
        <f t="shared" si="1"/>
        <v>3</v>
      </c>
      <c r="Y64" t="str">
        <f t="shared" si="2"/>
        <v>OK</v>
      </c>
      <c r="Z64" t="str">
        <f t="shared" si="3"/>
        <v>OK</v>
      </c>
      <c r="AA64" t="str">
        <f t="shared" si="4"/>
        <v>OK</v>
      </c>
      <c r="AB64" t="str">
        <f>IF(OR(P64&lt;0,P64&gt;1),"Invalid Discount","Valid")</f>
        <v>Valid</v>
      </c>
      <c r="AC64" t="str">
        <f>IF(OR(AB64="Invalid Discount",V64="Invalid Shipping"),
"Invalid",
IF(OR(Y64="Missing Region",
Z64="Missing Ship Mode",
AA64="Missing Discount",
X64="Flagged for Review"),
"Warning",
"Clean"))</f>
        <v>Clean</v>
      </c>
      <c r="AD64">
        <f t="shared" si="5"/>
        <v>0.2</v>
      </c>
      <c r="AE64">
        <f>N64*O64*(1-AD64)</f>
        <v>21904.488000000001</v>
      </c>
      <c r="AF64">
        <f>AE64-R64</f>
        <v>8333.9380000000019</v>
      </c>
      <c r="AG64" s="3">
        <f t="shared" si="6"/>
        <v>0.38046714445003244</v>
      </c>
      <c r="AH64" t="str">
        <f t="shared" si="7"/>
        <v>October</v>
      </c>
      <c r="AI64">
        <f t="shared" si="8"/>
        <v>2024</v>
      </c>
    </row>
    <row r="65" spans="1:35">
      <c r="A65" t="s">
        <v>312</v>
      </c>
      <c r="B65" s="2">
        <v>45316</v>
      </c>
      <c r="C65" s="2">
        <v>45323</v>
      </c>
      <c r="D65" t="s">
        <v>313</v>
      </c>
      <c r="E65" t="s">
        <v>146</v>
      </c>
      <c r="F65" t="s">
        <v>109</v>
      </c>
      <c r="G65" t="s">
        <v>39</v>
      </c>
      <c r="H65" t="s">
        <v>251</v>
      </c>
      <c r="I65" t="s">
        <v>252</v>
      </c>
      <c r="J65" t="s">
        <v>42</v>
      </c>
      <c r="K65" t="s">
        <v>167</v>
      </c>
      <c r="L65" t="s">
        <v>314</v>
      </c>
      <c r="M65" t="s">
        <v>58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46</v>
      </c>
      <c r="U65" t="s">
        <v>47</v>
      </c>
      <c r="V65" t="str">
        <f t="shared" si="0"/>
        <v>Valid</v>
      </c>
      <c r="W65">
        <f t="shared" si="1"/>
        <v>7</v>
      </c>
      <c r="Y65" t="str">
        <f t="shared" si="2"/>
        <v>OK</v>
      </c>
      <c r="Z65" t="str">
        <f t="shared" si="3"/>
        <v>OK</v>
      </c>
      <c r="AA65" t="str">
        <f t="shared" si="4"/>
        <v>OK</v>
      </c>
      <c r="AB65" t="str">
        <f>IF(OR(P65&lt;0,P65&gt;1),"Invalid Discount","Valid")</f>
        <v>Valid</v>
      </c>
      <c r="AC65" t="str">
        <f>IF(OR(AB65="Invalid Discount",V65="Invalid Shipping"),
"Invalid",
IF(OR(Y65="Missing Region",
Z65="Missing Ship Mode",
AA65="Missing Discount",
X65="Flagged for Review"),
"Warning",
"Clean"))</f>
        <v>Clean</v>
      </c>
      <c r="AD65">
        <f t="shared" si="5"/>
        <v>0.15</v>
      </c>
      <c r="AE65">
        <f>N65*O65*(1-AD65)</f>
        <v>4815.7089999999998</v>
      </c>
      <c r="AF65">
        <f>AE65-R65</f>
        <v>1787.9589999999998</v>
      </c>
      <c r="AG65" s="3">
        <f t="shared" si="6"/>
        <v>0.37127637903369992</v>
      </c>
      <c r="AH65" t="str">
        <f t="shared" si="7"/>
        <v>January</v>
      </c>
      <c r="AI65">
        <f t="shared" si="8"/>
        <v>2024</v>
      </c>
    </row>
    <row r="66" spans="1:35">
      <c r="A66" t="s">
        <v>315</v>
      </c>
      <c r="B66" s="2">
        <v>45649</v>
      </c>
      <c r="C66" s="2">
        <v>45655</v>
      </c>
      <c r="D66" t="s">
        <v>316</v>
      </c>
      <c r="E66" t="s">
        <v>142</v>
      </c>
      <c r="F66" t="s">
        <v>104</v>
      </c>
      <c r="G66" t="s">
        <v>52</v>
      </c>
      <c r="H66" t="s">
        <v>243</v>
      </c>
      <c r="I66" t="s">
        <v>244</v>
      </c>
      <c r="J66" t="s">
        <v>42</v>
      </c>
      <c r="K66" t="s">
        <v>43</v>
      </c>
      <c r="L66" t="s">
        <v>317</v>
      </c>
      <c r="M66" t="s">
        <v>64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116</v>
      </c>
      <c r="U66" t="s">
        <v>117</v>
      </c>
      <c r="V66" t="str">
        <f t="shared" si="0"/>
        <v>Valid</v>
      </c>
      <c r="W66">
        <f t="shared" si="1"/>
        <v>6</v>
      </c>
      <c r="Y66" t="str">
        <f t="shared" si="2"/>
        <v>OK</v>
      </c>
      <c r="Z66" t="str">
        <f t="shared" si="3"/>
        <v>OK</v>
      </c>
      <c r="AA66" t="str">
        <f t="shared" si="4"/>
        <v>OK</v>
      </c>
      <c r="AB66" t="str">
        <f>IF(OR(P66&lt;0,P66&gt;1),"Invalid Discount","Valid")</f>
        <v>Valid</v>
      </c>
      <c r="AC66" t="str">
        <f>IF(OR(AB66="Invalid Discount",V66="Invalid Shipping"),
"Invalid",
IF(OR(Y66="Missing Region",
Z66="Missing Ship Mode",
AA66="Missing Discount",
X66="Flagged for Review"),
"Warning",
"Clean"))</f>
        <v>Clean</v>
      </c>
      <c r="AD66">
        <f t="shared" si="5"/>
        <v>0</v>
      </c>
      <c r="AE66">
        <f>N66*O66*(1-AD66)</f>
        <v>3134.8799999999997</v>
      </c>
      <c r="AF66">
        <f>AE66-R66</f>
        <v>767.24999999999955</v>
      </c>
      <c r="AG66" s="3">
        <f t="shared" si="6"/>
        <v>0.24474621038125849</v>
      </c>
      <c r="AH66" t="str">
        <f t="shared" si="7"/>
        <v>December</v>
      </c>
      <c r="AI66">
        <f t="shared" si="8"/>
        <v>2024</v>
      </c>
    </row>
    <row r="67" spans="1:35">
      <c r="A67" t="s">
        <v>318</v>
      </c>
      <c r="B67" s="2">
        <v>45404</v>
      </c>
      <c r="C67" s="2">
        <v>45409</v>
      </c>
      <c r="D67" t="s">
        <v>319</v>
      </c>
      <c r="E67" t="s">
        <v>50</v>
      </c>
      <c r="F67" t="s">
        <v>109</v>
      </c>
      <c r="G67" t="s">
        <v>77</v>
      </c>
      <c r="H67" t="s">
        <v>78</v>
      </c>
      <c r="I67" t="s">
        <v>79</v>
      </c>
      <c r="J67" t="s">
        <v>42</v>
      </c>
      <c r="K67" t="s">
        <v>43</v>
      </c>
      <c r="L67" t="s">
        <v>320</v>
      </c>
      <c r="M67" t="s">
        <v>45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46</v>
      </c>
      <c r="U67" t="s">
        <v>47</v>
      </c>
      <c r="V67" t="str">
        <f t="shared" ref="V67:V130" si="9">IF(C67&lt;B67,"Invalid Shipping","Valid")</f>
        <v>Valid</v>
      </c>
      <c r="W67">
        <f t="shared" ref="W67:W130" si="10">C67-B67</f>
        <v>5</v>
      </c>
      <c r="Y67" t="str">
        <f t="shared" ref="Y67:Y130" si="11">IF(G67="Unknown","Missing Region","OK")</f>
        <v>OK</v>
      </c>
      <c r="Z67" t="str">
        <f t="shared" ref="Z67:Z130" si="12">IF(M67="Unknown","Missing Ship Mode","OK")</f>
        <v>OK</v>
      </c>
      <c r="AA67" t="str">
        <f t="shared" ref="AA67:AA130" si="13">IF(P67="","Missing Discount","OK")</f>
        <v>OK</v>
      </c>
      <c r="AB67" t="str">
        <f t="shared" ref="AB67:AB130" si="14">IF(OR(P67&lt;0,P67&gt;1),"Invalid Discount","Valid")</f>
        <v>Valid</v>
      </c>
      <c r="AC67" t="str">
        <f>IF(OR(AB67="Invalid Discount",V67="Invalid Shipping"),
"Invalid",
IF(OR(Y67="Missing Region",
Z67="Missing Ship Mode",
AA67="Missing Discount",
X67="Flagged for Review"),
"Warning",
"Clean"))</f>
        <v>Clean</v>
      </c>
      <c r="AD67">
        <f t="shared" ref="AD67:AD130" si="15">IF(P67="",0,P67)</f>
        <v>0.05</v>
      </c>
      <c r="AE67">
        <f>N67*O67*(1-AD67)</f>
        <v>4066.1804999999995</v>
      </c>
      <c r="AF67">
        <f>AE67-R67</f>
        <v>1437.2604999999994</v>
      </c>
      <c r="AG67" s="3">
        <f t="shared" ref="AG67:AG130" si="16">IF(AE67=0,0,AF67/AE67)</f>
        <v>0.35346696980126674</v>
      </c>
      <c r="AH67" t="str">
        <f t="shared" ref="AH67:AH130" si="17">TEXT(B67,"mmmm")</f>
        <v>April</v>
      </c>
      <c r="AI67">
        <f t="shared" ref="AI67:AI130" si="18">YEAR(B67)</f>
        <v>2024</v>
      </c>
    </row>
    <row r="68" spans="1:35">
      <c r="A68" t="s">
        <v>321</v>
      </c>
      <c r="B68" s="2">
        <v>45897</v>
      </c>
      <c r="C68" s="2">
        <v>45901</v>
      </c>
      <c r="D68" t="s">
        <v>322</v>
      </c>
      <c r="E68" t="s">
        <v>37</v>
      </c>
      <c r="F68" t="s">
        <v>51</v>
      </c>
      <c r="G68" t="s">
        <v>68</v>
      </c>
      <c r="H68" t="s">
        <v>262</v>
      </c>
      <c r="I68" t="s">
        <v>263</v>
      </c>
      <c r="J68" t="s">
        <v>88</v>
      </c>
      <c r="K68" t="s">
        <v>89</v>
      </c>
      <c r="L68" t="s">
        <v>323</v>
      </c>
      <c r="M68" t="s">
        <v>58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46</v>
      </c>
      <c r="U68" t="s">
        <v>47</v>
      </c>
      <c r="V68" t="str">
        <f t="shared" si="9"/>
        <v>Valid</v>
      </c>
      <c r="W68">
        <f t="shared" si="10"/>
        <v>4</v>
      </c>
      <c r="Y68" t="str">
        <f t="shared" si="11"/>
        <v>OK</v>
      </c>
      <c r="Z68" t="str">
        <f t="shared" si="12"/>
        <v>OK</v>
      </c>
      <c r="AA68" t="str">
        <f t="shared" si="13"/>
        <v>OK</v>
      </c>
      <c r="AB68" t="str">
        <f t="shared" si="14"/>
        <v>Valid</v>
      </c>
      <c r="AC68" t="str">
        <f>IF(OR(AB68="Invalid Discount",V68="Invalid Shipping"),
"Invalid",
IF(OR(Y68="Missing Region",
Z68="Missing Ship Mode",
AA68="Missing Discount",
X68="Flagged for Review"),
"Warning",
"Clean"))</f>
        <v>Clean</v>
      </c>
      <c r="AD68">
        <f t="shared" si="15"/>
        <v>0.05</v>
      </c>
      <c r="AE68">
        <f>N68*O68*(1-AD68)</f>
        <v>7032.1089999999995</v>
      </c>
      <c r="AF68">
        <f>AE68-R68</f>
        <v>2421.7689999999993</v>
      </c>
      <c r="AG68" s="3">
        <f t="shared" si="16"/>
        <v>0.34438729547565311</v>
      </c>
      <c r="AH68" t="str">
        <f t="shared" si="17"/>
        <v>August</v>
      </c>
      <c r="AI68">
        <f t="shared" si="18"/>
        <v>2025</v>
      </c>
    </row>
    <row r="69" spans="1:35">
      <c r="A69" t="s">
        <v>324</v>
      </c>
      <c r="B69" s="2">
        <v>45691</v>
      </c>
      <c r="C69" s="2">
        <v>45695</v>
      </c>
      <c r="D69" t="s">
        <v>325</v>
      </c>
      <c r="E69" t="s">
        <v>279</v>
      </c>
      <c r="F69" t="s">
        <v>38</v>
      </c>
      <c r="G69" t="s">
        <v>39</v>
      </c>
      <c r="H69" t="s">
        <v>251</v>
      </c>
      <c r="I69" t="s">
        <v>252</v>
      </c>
      <c r="J69" t="s">
        <v>42</v>
      </c>
      <c r="K69" t="s">
        <v>43</v>
      </c>
      <c r="L69" t="s">
        <v>326</v>
      </c>
      <c r="M69" t="s">
        <v>64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46</v>
      </c>
      <c r="U69" t="s">
        <v>47</v>
      </c>
      <c r="V69" t="str">
        <f t="shared" si="9"/>
        <v>Valid</v>
      </c>
      <c r="W69">
        <f t="shared" si="10"/>
        <v>4</v>
      </c>
      <c r="Y69" t="str">
        <f t="shared" si="11"/>
        <v>OK</v>
      </c>
      <c r="Z69" t="str">
        <f t="shared" si="12"/>
        <v>OK</v>
      </c>
      <c r="AA69" t="str">
        <f t="shared" si="13"/>
        <v>OK</v>
      </c>
      <c r="AB69" t="str">
        <f t="shared" si="14"/>
        <v>Valid</v>
      </c>
      <c r="AC69" t="str">
        <f>IF(OR(AB69="Invalid Discount",V69="Invalid Shipping"),
"Invalid",
IF(OR(Y69="Missing Region",
Z69="Missing Ship Mode",
AA69="Missing Discount",
X69="Flagged for Review"),
"Warning",
"Clean"))</f>
        <v>Clean</v>
      </c>
      <c r="AD69">
        <f t="shared" si="15"/>
        <v>0.05</v>
      </c>
      <c r="AE69">
        <f>N69*O69*(1-AD69)</f>
        <v>24002.111000000001</v>
      </c>
      <c r="AF69">
        <f>AE69-R69</f>
        <v>5294.5410000000011</v>
      </c>
      <c r="AG69" s="3">
        <f t="shared" si="16"/>
        <v>0.2205864725815159</v>
      </c>
      <c r="AH69" t="str">
        <f t="shared" si="17"/>
        <v>February</v>
      </c>
      <c r="AI69">
        <f t="shared" si="18"/>
        <v>2025</v>
      </c>
    </row>
    <row r="70" spans="1:35">
      <c r="A70" t="s">
        <v>327</v>
      </c>
      <c r="B70" s="2">
        <v>45606</v>
      </c>
      <c r="C70" s="2">
        <v>45609</v>
      </c>
      <c r="D70" t="s">
        <v>328</v>
      </c>
      <c r="E70" t="s">
        <v>61</v>
      </c>
      <c r="F70" t="s">
        <v>104</v>
      </c>
      <c r="G70" t="s">
        <v>52</v>
      </c>
      <c r="H70" t="s">
        <v>243</v>
      </c>
      <c r="I70" t="s">
        <v>244</v>
      </c>
      <c r="J70" t="s">
        <v>42</v>
      </c>
      <c r="K70" t="s">
        <v>138</v>
      </c>
      <c r="L70" t="s">
        <v>329</v>
      </c>
      <c r="M70" t="s">
        <v>45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169</v>
      </c>
      <c r="U70" t="s">
        <v>117</v>
      </c>
      <c r="V70" t="str">
        <f t="shared" si="9"/>
        <v>Valid</v>
      </c>
      <c r="W70">
        <f t="shared" si="10"/>
        <v>3</v>
      </c>
      <c r="Y70" t="str">
        <f t="shared" si="11"/>
        <v>OK</v>
      </c>
      <c r="Z70" t="str">
        <f t="shared" si="12"/>
        <v>OK</v>
      </c>
      <c r="AA70" t="str">
        <f t="shared" si="13"/>
        <v>OK</v>
      </c>
      <c r="AB70" t="str">
        <f t="shared" si="14"/>
        <v>Valid</v>
      </c>
      <c r="AC70" t="str">
        <f>IF(OR(AB70="Invalid Discount",V70="Invalid Shipping"),
"Invalid",
IF(OR(Y70="Missing Region",
Z70="Missing Ship Mode",
AA70="Missing Discount",
X70="Flagged for Review"),
"Warning",
"Clean"))</f>
        <v>Clean</v>
      </c>
      <c r="AD70">
        <f t="shared" si="15"/>
        <v>0</v>
      </c>
      <c r="AE70">
        <f>N70*O70*(1-AD70)</f>
        <v>19900.079999999998</v>
      </c>
      <c r="AF70">
        <f>AE70-R70</f>
        <v>8937.4199999999983</v>
      </c>
      <c r="AG70" s="3">
        <f t="shared" si="16"/>
        <v>0.44911477742803041</v>
      </c>
      <c r="AH70" t="str">
        <f t="shared" si="17"/>
        <v>November</v>
      </c>
      <c r="AI70">
        <f t="shared" si="18"/>
        <v>2024</v>
      </c>
    </row>
    <row r="71" spans="1:35">
      <c r="A71" t="s">
        <v>330</v>
      </c>
      <c r="B71" s="2">
        <v>45391</v>
      </c>
      <c r="C71" s="2">
        <v>45396</v>
      </c>
      <c r="D71" t="s">
        <v>331</v>
      </c>
      <c r="E71" t="s">
        <v>93</v>
      </c>
      <c r="F71" t="s">
        <v>51</v>
      </c>
      <c r="G71" t="s">
        <v>77</v>
      </c>
      <c r="H71" t="s">
        <v>194</v>
      </c>
      <c r="I71" t="s">
        <v>195</v>
      </c>
      <c r="J71" t="s">
        <v>88</v>
      </c>
      <c r="K71" t="s">
        <v>289</v>
      </c>
      <c r="L71" t="s">
        <v>332</v>
      </c>
      <c r="M71" t="s">
        <v>58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116</v>
      </c>
      <c r="U71" t="s">
        <v>117</v>
      </c>
      <c r="V71" t="str">
        <f t="shared" si="9"/>
        <v>Valid</v>
      </c>
      <c r="W71">
        <f t="shared" si="10"/>
        <v>5</v>
      </c>
      <c r="Y71" t="str">
        <f t="shared" si="11"/>
        <v>OK</v>
      </c>
      <c r="Z71" t="str">
        <f t="shared" si="12"/>
        <v>OK</v>
      </c>
      <c r="AA71" t="str">
        <f t="shared" si="13"/>
        <v>OK</v>
      </c>
      <c r="AB71" t="str">
        <f t="shared" si="14"/>
        <v>Valid</v>
      </c>
      <c r="AC71" t="str">
        <f>IF(OR(AB71="Invalid Discount",V71="Invalid Shipping"),
"Invalid",
IF(OR(Y71="Missing Region",
Z71="Missing Ship Mode",
AA71="Missing Discount",
X71="Flagged for Review"),
"Warning",
"Clean"))</f>
        <v>Clean</v>
      </c>
      <c r="AD71">
        <f t="shared" si="15"/>
        <v>0.1</v>
      </c>
      <c r="AE71">
        <f>N71*O71*(1-AD71)</f>
        <v>21527.667000000001</v>
      </c>
      <c r="AF71">
        <f>AE71-R71</f>
        <v>3240.0869999999995</v>
      </c>
      <c r="AG71" s="3">
        <f t="shared" si="16"/>
        <v>0.15050804158202555</v>
      </c>
      <c r="AH71" t="str">
        <f t="shared" si="17"/>
        <v>April</v>
      </c>
      <c r="AI71">
        <f t="shared" si="18"/>
        <v>2024</v>
      </c>
    </row>
    <row r="72" spans="1:35">
      <c r="A72" t="s">
        <v>333</v>
      </c>
      <c r="B72" s="2">
        <v>45891</v>
      </c>
      <c r="C72" s="2">
        <v>45896</v>
      </c>
      <c r="D72" t="s">
        <v>334</v>
      </c>
      <c r="E72" t="s">
        <v>37</v>
      </c>
      <c r="F72" t="s">
        <v>104</v>
      </c>
      <c r="G72" t="s">
        <v>68</v>
      </c>
      <c r="H72" t="s">
        <v>98</v>
      </c>
      <c r="I72" t="s">
        <v>99</v>
      </c>
      <c r="J72" t="s">
        <v>88</v>
      </c>
      <c r="K72" t="s">
        <v>185</v>
      </c>
      <c r="L72" t="s">
        <v>335</v>
      </c>
      <c r="M72" t="s">
        <v>64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46</v>
      </c>
      <c r="U72" t="s">
        <v>47</v>
      </c>
      <c r="V72" t="str">
        <f t="shared" si="9"/>
        <v>Valid</v>
      </c>
      <c r="W72">
        <f t="shared" si="10"/>
        <v>5</v>
      </c>
      <c r="Y72" t="str">
        <f t="shared" si="11"/>
        <v>OK</v>
      </c>
      <c r="Z72" t="str">
        <f t="shared" si="12"/>
        <v>OK</v>
      </c>
      <c r="AA72" t="str">
        <f t="shared" si="13"/>
        <v>OK</v>
      </c>
      <c r="AB72" t="str">
        <f t="shared" si="14"/>
        <v>Valid</v>
      </c>
      <c r="AC72" t="str">
        <f>IF(OR(AB72="Invalid Discount",V72="Invalid Shipping"),
"Invalid",
IF(OR(Y72="Missing Region",
Z72="Missing Ship Mode",
AA72="Missing Discount",
X72="Flagged for Review"),
"Warning",
"Clean"))</f>
        <v>Clean</v>
      </c>
      <c r="AD72">
        <f t="shared" si="15"/>
        <v>0.15</v>
      </c>
      <c r="AE72">
        <f>N72*O72*(1-AD72)</f>
        <v>1539.979</v>
      </c>
      <c r="AF72">
        <f>AE72-R72</f>
        <v>469.779</v>
      </c>
      <c r="AG72" s="3">
        <f t="shared" si="16"/>
        <v>0.30505545854846072</v>
      </c>
      <c r="AH72" t="str">
        <f t="shared" si="17"/>
        <v>August</v>
      </c>
      <c r="AI72">
        <f t="shared" si="18"/>
        <v>2025</v>
      </c>
    </row>
    <row r="73" spans="1:35">
      <c r="A73" t="s">
        <v>336</v>
      </c>
      <c r="B73" s="2">
        <v>45763</v>
      </c>
      <c r="C73" s="2">
        <v>45770</v>
      </c>
      <c r="D73" t="s">
        <v>337</v>
      </c>
      <c r="E73" t="s">
        <v>50</v>
      </c>
      <c r="F73" t="s">
        <v>51</v>
      </c>
      <c r="G73" t="s">
        <v>77</v>
      </c>
      <c r="H73" t="s">
        <v>204</v>
      </c>
      <c r="I73" t="s">
        <v>205</v>
      </c>
      <c r="J73" t="s">
        <v>88</v>
      </c>
      <c r="K73" t="s">
        <v>289</v>
      </c>
      <c r="L73" t="s">
        <v>338</v>
      </c>
      <c r="M73" t="s">
        <v>73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46</v>
      </c>
      <c r="U73" t="s">
        <v>47</v>
      </c>
      <c r="V73" t="str">
        <f t="shared" si="9"/>
        <v>Valid</v>
      </c>
      <c r="W73">
        <f t="shared" si="10"/>
        <v>7</v>
      </c>
      <c r="Y73" t="str">
        <f t="shared" si="11"/>
        <v>OK</v>
      </c>
      <c r="Z73" t="str">
        <f t="shared" si="12"/>
        <v>OK</v>
      </c>
      <c r="AA73" t="str">
        <f t="shared" si="13"/>
        <v>OK</v>
      </c>
      <c r="AB73" t="str">
        <f t="shared" si="14"/>
        <v>Valid</v>
      </c>
      <c r="AC73" t="str">
        <f>IF(OR(AB73="Invalid Discount",V73="Invalid Shipping"),
"Invalid",
IF(OR(Y73="Missing Region",
Z73="Missing Ship Mode",
AA73="Missing Discount",
X73="Flagged for Review"),
"Warning",
"Clean"))</f>
        <v>Clean</v>
      </c>
      <c r="AD73">
        <f t="shared" si="15"/>
        <v>0.1</v>
      </c>
      <c r="AE73">
        <f>N73*O73*(1-AD73)</f>
        <v>10947.528</v>
      </c>
      <c r="AF73">
        <f>AE73-R73</f>
        <v>4500.1680000000006</v>
      </c>
      <c r="AG73" s="3">
        <f t="shared" si="16"/>
        <v>0.41106704636882413</v>
      </c>
      <c r="AH73" t="str">
        <f t="shared" si="17"/>
        <v>April</v>
      </c>
      <c r="AI73">
        <f t="shared" si="18"/>
        <v>2025</v>
      </c>
    </row>
    <row r="74" spans="1:35">
      <c r="A74" t="s">
        <v>339</v>
      </c>
      <c r="B74" s="2">
        <v>45333</v>
      </c>
      <c r="C74" s="2">
        <v>45329</v>
      </c>
      <c r="D74" t="s">
        <v>340</v>
      </c>
      <c r="E74" t="s">
        <v>37</v>
      </c>
      <c r="F74" t="s">
        <v>109</v>
      </c>
      <c r="G74" t="s">
        <v>68</v>
      </c>
      <c r="H74" t="s">
        <v>262</v>
      </c>
      <c r="I74" t="s">
        <v>263</v>
      </c>
      <c r="J74" t="s">
        <v>55</v>
      </c>
      <c r="K74" t="s">
        <v>56</v>
      </c>
      <c r="L74" t="s">
        <v>341</v>
      </c>
      <c r="M74" t="s">
        <v>64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46</v>
      </c>
      <c r="U74" t="s">
        <v>47</v>
      </c>
      <c r="V74" t="str">
        <f t="shared" si="9"/>
        <v>Invalid Shipping</v>
      </c>
      <c r="W74">
        <f t="shared" si="10"/>
        <v>-4</v>
      </c>
      <c r="Y74" t="str">
        <f t="shared" si="11"/>
        <v>OK</v>
      </c>
      <c r="Z74" t="str">
        <f t="shared" si="12"/>
        <v>OK</v>
      </c>
      <c r="AA74" t="str">
        <f t="shared" si="13"/>
        <v>OK</v>
      </c>
      <c r="AB74" t="str">
        <f t="shared" si="14"/>
        <v>Valid</v>
      </c>
      <c r="AC74" t="str">
        <f>IF(OR(AB74="Invalid Discount",V74="Invalid Shipping"),
"Invalid",
IF(OR(Y74="Missing Region",
Z74="Missing Ship Mode",
AA74="Missing Discount",
X74="Flagged for Review"),
"Warning",
"Clean"))</f>
        <v>Invalid</v>
      </c>
      <c r="AD74">
        <f t="shared" si="15"/>
        <v>0.15</v>
      </c>
      <c r="AE74">
        <f>N74*O74*(1-AD74)</f>
        <v>13610.446499999998</v>
      </c>
      <c r="AF74">
        <f>AE74-R74</f>
        <v>3571.3964999999989</v>
      </c>
      <c r="AG74" s="3">
        <f t="shared" si="16"/>
        <v>0.26240112695788487</v>
      </c>
      <c r="AH74" t="str">
        <f t="shared" si="17"/>
        <v>February</v>
      </c>
      <c r="AI74">
        <f t="shared" si="18"/>
        <v>2024</v>
      </c>
    </row>
    <row r="75" spans="1:35">
      <c r="A75" t="s">
        <v>342</v>
      </c>
      <c r="B75" s="2">
        <v>45745</v>
      </c>
      <c r="C75" s="2">
        <v>45750</v>
      </c>
      <c r="D75" t="s">
        <v>343</v>
      </c>
      <c r="E75" t="s">
        <v>146</v>
      </c>
      <c r="F75" t="s">
        <v>104</v>
      </c>
      <c r="G75" t="s">
        <v>52</v>
      </c>
      <c r="H75" t="s">
        <v>113</v>
      </c>
      <c r="I75" t="s">
        <v>114</v>
      </c>
      <c r="J75" t="s">
        <v>55</v>
      </c>
      <c r="K75" t="s">
        <v>172</v>
      </c>
      <c r="L75" t="s">
        <v>344</v>
      </c>
      <c r="M75" t="s">
        <v>64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46</v>
      </c>
      <c r="U75" t="s">
        <v>47</v>
      </c>
      <c r="V75" t="str">
        <f t="shared" si="9"/>
        <v>Valid</v>
      </c>
      <c r="W75">
        <f t="shared" si="10"/>
        <v>5</v>
      </c>
      <c r="Y75" t="str">
        <f t="shared" si="11"/>
        <v>OK</v>
      </c>
      <c r="Z75" t="str">
        <f t="shared" si="12"/>
        <v>OK</v>
      </c>
      <c r="AA75" t="str">
        <f t="shared" si="13"/>
        <v>OK</v>
      </c>
      <c r="AB75" t="str">
        <f t="shared" si="14"/>
        <v>Valid</v>
      </c>
      <c r="AC75" t="str">
        <f>IF(OR(AB75="Invalid Discount",V75="Invalid Shipping"),
"Invalid",
IF(OR(Y75="Missing Region",
Z75="Missing Ship Mode",
AA75="Missing Discount",
X75="Flagged for Review"),
"Warning",
"Clean"))</f>
        <v>Clean</v>
      </c>
      <c r="AD75">
        <f t="shared" si="15"/>
        <v>0</v>
      </c>
      <c r="AE75">
        <f>N75*O75*(1-AD75)</f>
        <v>7128.7</v>
      </c>
      <c r="AF75">
        <f>AE75-R75</f>
        <v>2746.55</v>
      </c>
      <c r="AG75" s="3">
        <f t="shared" si="16"/>
        <v>0.38528062620113068</v>
      </c>
      <c r="AH75" t="str">
        <f t="shared" si="17"/>
        <v>March</v>
      </c>
      <c r="AI75">
        <f t="shared" si="18"/>
        <v>2025</v>
      </c>
    </row>
    <row r="76" spans="1:35">
      <c r="A76" t="s">
        <v>345</v>
      </c>
      <c r="B76" s="2">
        <v>45715</v>
      </c>
      <c r="C76" s="2">
        <v>45717</v>
      </c>
      <c r="D76" t="s">
        <v>346</v>
      </c>
      <c r="E76" t="s">
        <v>85</v>
      </c>
      <c r="F76" t="s">
        <v>51</v>
      </c>
      <c r="G76" t="s">
        <v>52</v>
      </c>
      <c r="H76" t="s">
        <v>113</v>
      </c>
      <c r="I76" t="s">
        <v>114</v>
      </c>
      <c r="J76" t="s">
        <v>55</v>
      </c>
      <c r="K76" t="s">
        <v>80</v>
      </c>
      <c r="L76" t="s">
        <v>347</v>
      </c>
      <c r="M76" t="s">
        <v>73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46</v>
      </c>
      <c r="U76" t="s">
        <v>47</v>
      </c>
      <c r="V76" t="str">
        <f t="shared" si="9"/>
        <v>Valid</v>
      </c>
      <c r="W76">
        <f t="shared" si="10"/>
        <v>2</v>
      </c>
      <c r="Y76" t="str">
        <f t="shared" si="11"/>
        <v>OK</v>
      </c>
      <c r="Z76" t="str">
        <f t="shared" si="12"/>
        <v>OK</v>
      </c>
      <c r="AA76" t="str">
        <f t="shared" si="13"/>
        <v>OK</v>
      </c>
      <c r="AB76" t="str">
        <f t="shared" si="14"/>
        <v>Valid</v>
      </c>
      <c r="AC76" t="str">
        <f>IF(OR(AB76="Invalid Discount",V76="Invalid Shipping"),
"Invalid",
IF(OR(Y76="Missing Region",
Z76="Missing Ship Mode",
AA76="Missing Discount",
X76="Flagged for Review"),
"Warning",
"Clean"))</f>
        <v>Clean</v>
      </c>
      <c r="AD76">
        <f t="shared" si="15"/>
        <v>0</v>
      </c>
      <c r="AE76">
        <f>N76*O76*(1-AD76)</f>
        <v>3309.84</v>
      </c>
      <c r="AF76">
        <f>AE76-R76</f>
        <v>638.76000000000022</v>
      </c>
      <c r="AG76" s="3">
        <f t="shared" si="16"/>
        <v>0.19298818069755644</v>
      </c>
      <c r="AH76" t="str">
        <f t="shared" si="17"/>
        <v>February</v>
      </c>
      <c r="AI76">
        <f t="shared" si="18"/>
        <v>2025</v>
      </c>
    </row>
    <row r="77" spans="1:35">
      <c r="A77" t="s">
        <v>348</v>
      </c>
      <c r="B77" s="2">
        <v>45891</v>
      </c>
      <c r="C77" s="2">
        <v>45896</v>
      </c>
      <c r="D77" t="s">
        <v>349</v>
      </c>
      <c r="E77" t="s">
        <v>128</v>
      </c>
      <c r="F77" t="s">
        <v>51</v>
      </c>
      <c r="G77" t="s">
        <v>52</v>
      </c>
      <c r="H77" t="s">
        <v>53</v>
      </c>
      <c r="I77" t="s">
        <v>54</v>
      </c>
      <c r="J77" t="s">
        <v>42</v>
      </c>
      <c r="K77" t="s">
        <v>105</v>
      </c>
      <c r="L77" t="s">
        <v>350</v>
      </c>
      <c r="M77" t="s">
        <v>64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46</v>
      </c>
      <c r="U77" t="s">
        <v>47</v>
      </c>
      <c r="V77" t="str">
        <f t="shared" si="9"/>
        <v>Valid</v>
      </c>
      <c r="W77">
        <f t="shared" si="10"/>
        <v>5</v>
      </c>
      <c r="Y77" t="str">
        <f t="shared" si="11"/>
        <v>OK</v>
      </c>
      <c r="Z77" t="str">
        <f t="shared" si="12"/>
        <v>OK</v>
      </c>
      <c r="AA77" t="str">
        <f t="shared" si="13"/>
        <v>OK</v>
      </c>
      <c r="AB77" t="str">
        <f t="shared" si="14"/>
        <v>Valid</v>
      </c>
      <c r="AC77" t="str">
        <f>IF(OR(AB77="Invalid Discount",V77="Invalid Shipping"),
"Invalid",
IF(OR(Y77="Missing Region",
Z77="Missing Ship Mode",
AA77="Missing Discount",
X77="Flagged for Review"),
"Warning",
"Clean"))</f>
        <v>Clean</v>
      </c>
      <c r="AD77">
        <f t="shared" si="15"/>
        <v>0.2</v>
      </c>
      <c r="AE77">
        <f>N77*O77*(1-AD77)</f>
        <v>7907.5680000000011</v>
      </c>
      <c r="AF77">
        <f>AE77-R77</f>
        <v>2516.3880000000008</v>
      </c>
      <c r="AG77" s="3">
        <f t="shared" si="16"/>
        <v>0.31822527482533197</v>
      </c>
      <c r="AH77" t="str">
        <f t="shared" si="17"/>
        <v>August</v>
      </c>
      <c r="AI77">
        <f t="shared" si="18"/>
        <v>2025</v>
      </c>
    </row>
    <row r="78" spans="1:35">
      <c r="A78" t="s">
        <v>351</v>
      </c>
      <c r="B78" s="2">
        <v>45599</v>
      </c>
      <c r="C78" s="2">
        <v>45607</v>
      </c>
      <c r="D78" t="s">
        <v>352</v>
      </c>
      <c r="E78" t="s">
        <v>76</v>
      </c>
      <c r="F78" t="s">
        <v>104</v>
      </c>
      <c r="G78" t="s">
        <v>52</v>
      </c>
      <c r="H78" t="s">
        <v>243</v>
      </c>
      <c r="I78" t="s">
        <v>244</v>
      </c>
      <c r="J78" t="s">
        <v>42</v>
      </c>
      <c r="K78" t="s">
        <v>105</v>
      </c>
      <c r="L78" t="s">
        <v>353</v>
      </c>
      <c r="M78" t="s">
        <v>45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46</v>
      </c>
      <c r="U78" t="s">
        <v>47</v>
      </c>
      <c r="V78" t="str">
        <f t="shared" si="9"/>
        <v>Valid</v>
      </c>
      <c r="W78">
        <f t="shared" si="10"/>
        <v>8</v>
      </c>
      <c r="Y78" t="str">
        <f t="shared" si="11"/>
        <v>OK</v>
      </c>
      <c r="Z78" t="str">
        <f t="shared" si="12"/>
        <v>OK</v>
      </c>
      <c r="AA78" t="str">
        <f t="shared" si="13"/>
        <v>OK</v>
      </c>
      <c r="AB78" t="str">
        <f t="shared" si="14"/>
        <v>Valid</v>
      </c>
      <c r="AC78" t="str">
        <f>IF(OR(AB78="Invalid Discount",V78="Invalid Shipping"),
"Invalid",
IF(OR(Y78="Missing Region",
Z78="Missing Ship Mode",
AA78="Missing Discount",
X78="Flagged for Review"),
"Warning",
"Clean"))</f>
        <v>Clean</v>
      </c>
      <c r="AD78">
        <f t="shared" si="15"/>
        <v>0</v>
      </c>
      <c r="AE78">
        <f>N78*O78*(1-AD78)</f>
        <v>10218.81</v>
      </c>
      <c r="AF78">
        <f>AE78-R78</f>
        <v>2601.8399999999992</v>
      </c>
      <c r="AG78" s="3">
        <f t="shared" si="16"/>
        <v>0.2546128169522674</v>
      </c>
      <c r="AH78" t="str">
        <f t="shared" si="17"/>
        <v>November</v>
      </c>
      <c r="AI78">
        <f t="shared" si="18"/>
        <v>2024</v>
      </c>
    </row>
    <row r="79" spans="1:35">
      <c r="A79" t="s">
        <v>354</v>
      </c>
      <c r="B79" s="2">
        <v>45846</v>
      </c>
      <c r="C79" s="2">
        <v>45850</v>
      </c>
      <c r="D79" t="s">
        <v>355</v>
      </c>
      <c r="E79" t="s">
        <v>155</v>
      </c>
      <c r="F79" t="s">
        <v>109</v>
      </c>
      <c r="G79" t="s">
        <v>39</v>
      </c>
      <c r="H79" t="s">
        <v>150</v>
      </c>
      <c r="I79" t="s">
        <v>151</v>
      </c>
      <c r="J79" t="s">
        <v>55</v>
      </c>
      <c r="K79" t="s">
        <v>71</v>
      </c>
      <c r="L79" t="s">
        <v>356</v>
      </c>
      <c r="M79" t="s">
        <v>73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116</v>
      </c>
      <c r="U79" t="s">
        <v>82</v>
      </c>
      <c r="V79" t="str">
        <f t="shared" si="9"/>
        <v>Valid</v>
      </c>
      <c r="W79">
        <f t="shared" si="10"/>
        <v>4</v>
      </c>
      <c r="Y79" t="str">
        <f t="shared" si="11"/>
        <v>OK</v>
      </c>
      <c r="Z79" t="str">
        <f t="shared" si="12"/>
        <v>OK</v>
      </c>
      <c r="AA79" t="str">
        <f t="shared" si="13"/>
        <v>OK</v>
      </c>
      <c r="AB79" t="str">
        <f t="shared" si="14"/>
        <v>Valid</v>
      </c>
      <c r="AC79" t="str">
        <f>IF(OR(AB79="Invalid Discount",V79="Invalid Shipping"),
"Invalid",
IF(OR(Y79="Missing Region",
Z79="Missing Ship Mode",
AA79="Missing Discount",
X79="Flagged for Review"),
"Warning",
"Clean"))</f>
        <v>Clean</v>
      </c>
      <c r="AD79">
        <f t="shared" si="15"/>
        <v>0.15</v>
      </c>
      <c r="AE79">
        <f>N79*O79*(1-AD79)</f>
        <v>2194.87</v>
      </c>
      <c r="AF79">
        <f>AE79-R79</f>
        <v>971.69999999999982</v>
      </c>
      <c r="AG79" s="3">
        <f t="shared" si="16"/>
        <v>0.44271414707932583</v>
      </c>
      <c r="AH79" t="str">
        <f t="shared" si="17"/>
        <v>July</v>
      </c>
      <c r="AI79">
        <f t="shared" si="18"/>
        <v>2025</v>
      </c>
    </row>
    <row r="80" spans="1:35">
      <c r="A80" t="s">
        <v>357</v>
      </c>
      <c r="B80" s="2">
        <v>45854</v>
      </c>
      <c r="C80" s="2">
        <v>45859</v>
      </c>
      <c r="D80" t="s">
        <v>358</v>
      </c>
      <c r="E80" t="s">
        <v>146</v>
      </c>
      <c r="F80" t="s">
        <v>104</v>
      </c>
      <c r="G80" t="s">
        <v>52</v>
      </c>
      <c r="H80" t="s">
        <v>113</v>
      </c>
      <c r="I80" t="s">
        <v>114</v>
      </c>
      <c r="J80" t="s">
        <v>55</v>
      </c>
      <c r="K80" t="s">
        <v>56</v>
      </c>
      <c r="L80" t="s">
        <v>359</v>
      </c>
      <c r="M80" t="s">
        <v>64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46</v>
      </c>
      <c r="U80" t="s">
        <v>47</v>
      </c>
      <c r="V80" t="str">
        <f t="shared" si="9"/>
        <v>Valid</v>
      </c>
      <c r="W80">
        <f t="shared" si="10"/>
        <v>5</v>
      </c>
      <c r="Y80" t="str">
        <f t="shared" si="11"/>
        <v>OK</v>
      </c>
      <c r="Z80" t="str">
        <f t="shared" si="12"/>
        <v>OK</v>
      </c>
      <c r="AA80" t="str">
        <f t="shared" si="13"/>
        <v>OK</v>
      </c>
      <c r="AB80" t="str">
        <f t="shared" si="14"/>
        <v>Valid</v>
      </c>
      <c r="AC80" t="str">
        <f>IF(OR(AB80="Invalid Discount",V80="Invalid Shipping"),
"Invalid",
IF(OR(Y80="Missing Region",
Z80="Missing Ship Mode",
AA80="Missing Discount",
X80="Flagged for Review"),
"Warning",
"Clean"))</f>
        <v>Clean</v>
      </c>
      <c r="AD80">
        <f t="shared" si="15"/>
        <v>0.15</v>
      </c>
      <c r="AE80">
        <f>N80*O80*(1-AD80)</f>
        <v>9050.4175000000014</v>
      </c>
      <c r="AF80">
        <f>AE80-R80</f>
        <v>2271.567500000001</v>
      </c>
      <c r="AG80" s="3">
        <f t="shared" si="16"/>
        <v>0.25099035486484472</v>
      </c>
      <c r="AH80" t="str">
        <f t="shared" si="17"/>
        <v>July</v>
      </c>
      <c r="AI80">
        <f t="shared" si="18"/>
        <v>2025</v>
      </c>
    </row>
    <row r="81" spans="1:35">
      <c r="A81" t="s">
        <v>360</v>
      </c>
      <c r="B81" s="2">
        <v>45927</v>
      </c>
      <c r="C81" s="2">
        <v>45933</v>
      </c>
      <c r="D81" t="s">
        <v>361</v>
      </c>
      <c r="E81" t="s">
        <v>176</v>
      </c>
      <c r="F81" t="s">
        <v>109</v>
      </c>
      <c r="G81" t="s">
        <v>68</v>
      </c>
      <c r="H81" t="s">
        <v>262</v>
      </c>
      <c r="I81" t="s">
        <v>263</v>
      </c>
      <c r="J81" t="s">
        <v>55</v>
      </c>
      <c r="K81" t="s">
        <v>80</v>
      </c>
      <c r="L81" t="s">
        <v>362</v>
      </c>
      <c r="M81" t="s">
        <v>58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46</v>
      </c>
      <c r="U81" t="s">
        <v>47</v>
      </c>
      <c r="V81" t="str">
        <f t="shared" si="9"/>
        <v>Valid</v>
      </c>
      <c r="W81">
        <f t="shared" si="10"/>
        <v>6</v>
      </c>
      <c r="Y81" t="str">
        <f t="shared" si="11"/>
        <v>OK</v>
      </c>
      <c r="Z81" t="str">
        <f t="shared" si="12"/>
        <v>OK</v>
      </c>
      <c r="AA81" t="str">
        <f t="shared" si="13"/>
        <v>OK</v>
      </c>
      <c r="AB81" t="str">
        <f t="shared" si="14"/>
        <v>Valid</v>
      </c>
      <c r="AC81" t="str">
        <f>IF(OR(AB81="Invalid Discount",V81="Invalid Shipping"),
"Invalid",
IF(OR(Y81="Missing Region",
Z81="Missing Ship Mode",
AA81="Missing Discount",
X81="Flagged for Review"),
"Warning",
"Clean"))</f>
        <v>Clean</v>
      </c>
      <c r="AD81">
        <f t="shared" si="15"/>
        <v>0.1</v>
      </c>
      <c r="AE81">
        <f>N81*O81*(1-AD81)</f>
        <v>33465.312000000005</v>
      </c>
      <c r="AF81">
        <f>AE81-R81</f>
        <v>8684.052000000007</v>
      </c>
      <c r="AG81" s="3">
        <f t="shared" si="16"/>
        <v>0.25949412932411942</v>
      </c>
      <c r="AH81" t="str">
        <f t="shared" si="17"/>
        <v>September</v>
      </c>
      <c r="AI81">
        <f t="shared" si="18"/>
        <v>2025</v>
      </c>
    </row>
    <row r="82" spans="1:35">
      <c r="A82" t="s">
        <v>363</v>
      </c>
      <c r="B82" s="2">
        <v>45514</v>
      </c>
      <c r="C82" s="2">
        <v>45518</v>
      </c>
      <c r="D82" t="s">
        <v>364</v>
      </c>
      <c r="E82" t="s">
        <v>142</v>
      </c>
      <c r="F82" t="s">
        <v>51</v>
      </c>
      <c r="G82" t="s">
        <v>39</v>
      </c>
      <c r="H82" t="s">
        <v>365</v>
      </c>
      <c r="I82" t="s">
        <v>366</v>
      </c>
      <c r="J82" t="s">
        <v>42</v>
      </c>
      <c r="K82" t="s">
        <v>138</v>
      </c>
      <c r="L82" t="s">
        <v>367</v>
      </c>
      <c r="M82" t="s">
        <v>45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125</v>
      </c>
      <c r="U82" t="s">
        <v>117</v>
      </c>
      <c r="V82" t="str">
        <f t="shared" si="9"/>
        <v>Valid</v>
      </c>
      <c r="W82">
        <f t="shared" si="10"/>
        <v>4</v>
      </c>
      <c r="Y82" t="str">
        <f t="shared" si="11"/>
        <v>OK</v>
      </c>
      <c r="Z82" t="str">
        <f t="shared" si="12"/>
        <v>OK</v>
      </c>
      <c r="AA82" t="str">
        <f t="shared" si="13"/>
        <v>OK</v>
      </c>
      <c r="AB82" t="str">
        <f t="shared" si="14"/>
        <v>Valid</v>
      </c>
      <c r="AC82" t="str">
        <f>IF(OR(AB82="Invalid Discount",V82="Invalid Shipping"),
"Invalid",
IF(OR(Y82="Missing Region",
Z82="Missing Ship Mode",
AA82="Missing Discount",
X82="Flagged for Review"),
"Warning",
"Clean"))</f>
        <v>Clean</v>
      </c>
      <c r="AD82">
        <f t="shared" si="15"/>
        <v>0.1</v>
      </c>
      <c r="AE82">
        <f>N82*O82*(1-AD82)</f>
        <v>4256.3519999999999</v>
      </c>
      <c r="AF82">
        <f>AE82-R82</f>
        <v>1761.0219999999999</v>
      </c>
      <c r="AG82" s="3">
        <f t="shared" si="16"/>
        <v>0.41373974708858663</v>
      </c>
      <c r="AH82" t="str">
        <f t="shared" si="17"/>
        <v>August</v>
      </c>
      <c r="AI82">
        <f t="shared" si="18"/>
        <v>2024</v>
      </c>
    </row>
    <row r="83" spans="1:35">
      <c r="A83" t="s">
        <v>368</v>
      </c>
      <c r="B83" s="2">
        <v>45732</v>
      </c>
      <c r="C83" s="2">
        <v>45733</v>
      </c>
      <c r="D83" t="s">
        <v>369</v>
      </c>
      <c r="E83" t="s">
        <v>37</v>
      </c>
      <c r="F83" t="s">
        <v>109</v>
      </c>
      <c r="G83" t="s">
        <v>77</v>
      </c>
      <c r="H83" t="s">
        <v>204</v>
      </c>
      <c r="I83" t="s">
        <v>205</v>
      </c>
      <c r="J83" t="s">
        <v>42</v>
      </c>
      <c r="K83" t="s">
        <v>105</v>
      </c>
      <c r="L83" t="s">
        <v>370</v>
      </c>
      <c r="M83" t="s">
        <v>58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46</v>
      </c>
      <c r="U83" t="s">
        <v>47</v>
      </c>
      <c r="V83" t="str">
        <f t="shared" si="9"/>
        <v>Valid</v>
      </c>
      <c r="W83">
        <f t="shared" si="10"/>
        <v>1</v>
      </c>
      <c r="Y83" t="str">
        <f t="shared" si="11"/>
        <v>OK</v>
      </c>
      <c r="Z83" t="str">
        <f t="shared" si="12"/>
        <v>OK</v>
      </c>
      <c r="AA83" t="str">
        <f t="shared" si="13"/>
        <v>OK</v>
      </c>
      <c r="AB83" t="str">
        <f t="shared" si="14"/>
        <v>Valid</v>
      </c>
      <c r="AC83" t="str">
        <f>IF(OR(AB83="Invalid Discount",V83="Invalid Shipping"),
"Invalid",
IF(OR(Y83="Missing Region",
Z83="Missing Ship Mode",
AA83="Missing Discount",
X83="Flagged for Review"),
"Warning",
"Clean"))</f>
        <v>Clean</v>
      </c>
      <c r="AD83">
        <f t="shared" si="15"/>
        <v>0</v>
      </c>
      <c r="AE83">
        <f>N83*O83*(1-AD83)</f>
        <v>5525.7300000000005</v>
      </c>
      <c r="AF83">
        <f>AE83-R83</f>
        <v>2432.3100000000004</v>
      </c>
      <c r="AG83" s="3">
        <f t="shared" si="16"/>
        <v>0.44017894468242208</v>
      </c>
      <c r="AH83" t="str">
        <f t="shared" si="17"/>
        <v>March</v>
      </c>
      <c r="AI83">
        <f t="shared" si="18"/>
        <v>2025</v>
      </c>
    </row>
    <row r="84" spans="1:35">
      <c r="A84" t="s">
        <v>371</v>
      </c>
      <c r="B84" s="2">
        <v>45507</v>
      </c>
      <c r="C84" s="2">
        <v>45508</v>
      </c>
      <c r="D84" t="s">
        <v>372</v>
      </c>
      <c r="E84" t="s">
        <v>67</v>
      </c>
      <c r="F84" t="s">
        <v>38</v>
      </c>
      <c r="G84" t="s">
        <v>39</v>
      </c>
      <c r="H84" t="s">
        <v>150</v>
      </c>
      <c r="I84" t="s">
        <v>151</v>
      </c>
      <c r="J84" t="s">
        <v>88</v>
      </c>
      <c r="K84" t="s">
        <v>94</v>
      </c>
      <c r="L84" t="s">
        <v>373</v>
      </c>
      <c r="M84" t="s">
        <v>45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169</v>
      </c>
      <c r="U84" t="s">
        <v>117</v>
      </c>
      <c r="V84" t="str">
        <f t="shared" si="9"/>
        <v>Valid</v>
      </c>
      <c r="W84">
        <f t="shared" si="10"/>
        <v>1</v>
      </c>
      <c r="Y84" t="str">
        <f t="shared" si="11"/>
        <v>OK</v>
      </c>
      <c r="Z84" t="str">
        <f t="shared" si="12"/>
        <v>OK</v>
      </c>
      <c r="AA84" t="str">
        <f t="shared" si="13"/>
        <v>OK</v>
      </c>
      <c r="AB84" t="str">
        <f t="shared" si="14"/>
        <v>Valid</v>
      </c>
      <c r="AC84" t="str">
        <f>IF(OR(AB84="Invalid Discount",V84="Invalid Shipping"),
"Invalid",
IF(OR(Y84="Missing Region",
Z84="Missing Ship Mode",
AA84="Missing Discount",
X84="Flagged for Review"),
"Warning",
"Clean"))</f>
        <v>Clean</v>
      </c>
      <c r="AD84">
        <f t="shared" si="15"/>
        <v>0</v>
      </c>
      <c r="AE84">
        <f>N84*O84*(1-AD84)</f>
        <v>6010.38</v>
      </c>
      <c r="AF84">
        <f>AE84-R84</f>
        <v>2247.5300000000002</v>
      </c>
      <c r="AG84" s="3">
        <f t="shared" si="16"/>
        <v>0.37394141468592673</v>
      </c>
      <c r="AH84" t="str">
        <f t="shared" si="17"/>
        <v>August</v>
      </c>
      <c r="AI84">
        <f t="shared" si="18"/>
        <v>2024</v>
      </c>
    </row>
    <row r="85" spans="1:35">
      <c r="A85" t="s">
        <v>374</v>
      </c>
      <c r="B85" s="2">
        <v>45591</v>
      </c>
      <c r="C85" s="2">
        <v>45594</v>
      </c>
      <c r="D85" t="s">
        <v>375</v>
      </c>
      <c r="E85" t="s">
        <v>103</v>
      </c>
      <c r="F85" t="s">
        <v>109</v>
      </c>
      <c r="G85" t="s">
        <v>77</v>
      </c>
      <c r="H85" t="s">
        <v>78</v>
      </c>
      <c r="I85" t="s">
        <v>79</v>
      </c>
      <c r="J85" t="s">
        <v>55</v>
      </c>
      <c r="K85" t="s">
        <v>56</v>
      </c>
      <c r="L85" t="s">
        <v>376</v>
      </c>
      <c r="M85" t="s">
        <v>45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46</v>
      </c>
      <c r="U85" t="s">
        <v>47</v>
      </c>
      <c r="V85" t="str">
        <f t="shared" si="9"/>
        <v>Valid</v>
      </c>
      <c r="W85">
        <f t="shared" si="10"/>
        <v>3</v>
      </c>
      <c r="Y85" t="str">
        <f t="shared" si="11"/>
        <v>OK</v>
      </c>
      <c r="Z85" t="str">
        <f t="shared" si="12"/>
        <v>OK</v>
      </c>
      <c r="AA85" t="str">
        <f t="shared" si="13"/>
        <v>OK</v>
      </c>
      <c r="AB85" t="str">
        <f t="shared" si="14"/>
        <v>Valid</v>
      </c>
      <c r="AC85" t="str">
        <f>IF(OR(AB85="Invalid Discount",V85="Invalid Shipping"),
"Invalid",
IF(OR(Y85="Missing Region",
Z85="Missing Ship Mode",
AA85="Missing Discount",
X85="Flagged for Review"),
"Warning",
"Clean"))</f>
        <v>Clean</v>
      </c>
      <c r="AD85">
        <f t="shared" si="15"/>
        <v>0.2</v>
      </c>
      <c r="AE85">
        <f>N85*O85*(1-AD85)</f>
        <v>948.52800000000013</v>
      </c>
      <c r="AF85">
        <f>AE85-R85</f>
        <v>273.90800000000013</v>
      </c>
      <c r="AG85" s="3">
        <f t="shared" si="16"/>
        <v>0.28877165460587362</v>
      </c>
      <c r="AH85" t="str">
        <f t="shared" si="17"/>
        <v>October</v>
      </c>
      <c r="AI85">
        <f t="shared" si="18"/>
        <v>2024</v>
      </c>
    </row>
    <row r="86" spans="1:35">
      <c r="A86" t="s">
        <v>377</v>
      </c>
      <c r="B86" s="2">
        <v>45566</v>
      </c>
      <c r="C86" s="2">
        <v>45568</v>
      </c>
      <c r="D86" t="s">
        <v>378</v>
      </c>
      <c r="E86" t="s">
        <v>155</v>
      </c>
      <c r="F86" t="s">
        <v>104</v>
      </c>
      <c r="G86" t="s">
        <v>68</v>
      </c>
      <c r="H86" t="s">
        <v>262</v>
      </c>
      <c r="I86" t="s">
        <v>263</v>
      </c>
      <c r="J86" t="s">
        <v>88</v>
      </c>
      <c r="K86" t="s">
        <v>185</v>
      </c>
      <c r="L86" t="s">
        <v>379</v>
      </c>
      <c r="M86" t="s">
        <v>45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46</v>
      </c>
      <c r="U86" t="s">
        <v>47</v>
      </c>
      <c r="V86" t="str">
        <f t="shared" si="9"/>
        <v>Valid</v>
      </c>
      <c r="W86">
        <f t="shared" si="10"/>
        <v>2</v>
      </c>
      <c r="Y86" t="str">
        <f t="shared" si="11"/>
        <v>OK</v>
      </c>
      <c r="Z86" t="str">
        <f t="shared" si="12"/>
        <v>OK</v>
      </c>
      <c r="AA86" t="str">
        <f t="shared" si="13"/>
        <v>OK</v>
      </c>
      <c r="AB86" t="str">
        <f t="shared" si="14"/>
        <v>Valid</v>
      </c>
      <c r="AC86" t="str">
        <f>IF(OR(AB86="Invalid Discount",V86="Invalid Shipping"),
"Invalid",
IF(OR(Y86="Missing Region",
Z86="Missing Ship Mode",
AA86="Missing Discount",
X86="Flagged for Review"),
"Warning",
"Clean"))</f>
        <v>Clean</v>
      </c>
      <c r="AD86">
        <f t="shared" si="15"/>
        <v>0.2</v>
      </c>
      <c r="AE86">
        <f>N86*O86*(1-AD86)</f>
        <v>2737.3440000000001</v>
      </c>
      <c r="AF86">
        <f>AE86-R86</f>
        <v>651.904</v>
      </c>
      <c r="AG86" s="3">
        <f t="shared" si="16"/>
        <v>0.23815201889130486</v>
      </c>
      <c r="AH86" t="str">
        <f t="shared" si="17"/>
        <v>October</v>
      </c>
      <c r="AI86">
        <f t="shared" si="18"/>
        <v>2024</v>
      </c>
    </row>
    <row r="87" spans="1:35">
      <c r="A87" t="s">
        <v>380</v>
      </c>
      <c r="B87" s="2">
        <v>45503</v>
      </c>
      <c r="C87" s="2">
        <v>45509</v>
      </c>
      <c r="D87" t="s">
        <v>381</v>
      </c>
      <c r="E87" t="s">
        <v>279</v>
      </c>
      <c r="F87" t="s">
        <v>104</v>
      </c>
      <c r="G87" t="s">
        <v>39</v>
      </c>
      <c r="H87" t="s">
        <v>365</v>
      </c>
      <c r="I87" t="s">
        <v>366</v>
      </c>
      <c r="J87" t="s">
        <v>42</v>
      </c>
      <c r="K87" t="s">
        <v>167</v>
      </c>
      <c r="L87" t="s">
        <v>382</v>
      </c>
      <c r="M87" t="s">
        <v>73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46</v>
      </c>
      <c r="U87" t="s">
        <v>82</v>
      </c>
      <c r="V87" t="str">
        <f t="shared" si="9"/>
        <v>Valid</v>
      </c>
      <c r="W87">
        <f t="shared" si="10"/>
        <v>6</v>
      </c>
      <c r="Y87" t="str">
        <f t="shared" si="11"/>
        <v>OK</v>
      </c>
      <c r="Z87" t="str">
        <f t="shared" si="12"/>
        <v>OK</v>
      </c>
      <c r="AA87" t="str">
        <f t="shared" si="13"/>
        <v>OK</v>
      </c>
      <c r="AB87" t="str">
        <f t="shared" si="14"/>
        <v>Valid</v>
      </c>
      <c r="AC87" t="str">
        <f>IF(OR(AB87="Invalid Discount",V87="Invalid Shipping"),
"Invalid",
IF(OR(Y87="Missing Region",
Z87="Missing Ship Mode",
AA87="Missing Discount",
X87="Flagged for Review"),
"Warning",
"Clean"))</f>
        <v>Clean</v>
      </c>
      <c r="AD87">
        <f t="shared" si="15"/>
        <v>0</v>
      </c>
      <c r="AE87">
        <f>N87*O87*(1-AD87)</f>
        <v>608.64</v>
      </c>
      <c r="AF87">
        <f>AE87-R87</f>
        <v>264.64999999999998</v>
      </c>
      <c r="AG87" s="3">
        <f t="shared" si="16"/>
        <v>0.43482189800210302</v>
      </c>
      <c r="AH87" t="str">
        <f t="shared" si="17"/>
        <v>July</v>
      </c>
      <c r="AI87">
        <f t="shared" si="18"/>
        <v>2024</v>
      </c>
    </row>
    <row r="88" spans="1:35">
      <c r="A88" t="s">
        <v>383</v>
      </c>
      <c r="B88" s="2">
        <v>45474</v>
      </c>
      <c r="C88" s="2">
        <v>45474</v>
      </c>
      <c r="D88" t="s">
        <v>384</v>
      </c>
      <c r="E88" t="s">
        <v>76</v>
      </c>
      <c r="F88" t="s">
        <v>51</v>
      </c>
      <c r="G88" t="s">
        <v>39</v>
      </c>
      <c r="H88" t="s">
        <v>365</v>
      </c>
      <c r="I88" t="s">
        <v>366</v>
      </c>
      <c r="J88" t="s">
        <v>88</v>
      </c>
      <c r="K88" t="s">
        <v>94</v>
      </c>
      <c r="L88" t="s">
        <v>385</v>
      </c>
      <c r="M88" t="s">
        <v>45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116</v>
      </c>
      <c r="U88" t="s">
        <v>82</v>
      </c>
      <c r="V88" t="str">
        <f t="shared" si="9"/>
        <v>Valid</v>
      </c>
      <c r="W88">
        <f t="shared" si="10"/>
        <v>0</v>
      </c>
      <c r="Y88" t="str">
        <f t="shared" si="11"/>
        <v>OK</v>
      </c>
      <c r="Z88" t="str">
        <f t="shared" si="12"/>
        <v>OK</v>
      </c>
      <c r="AA88" t="str">
        <f t="shared" si="13"/>
        <v>OK</v>
      </c>
      <c r="AB88" t="str">
        <f t="shared" si="14"/>
        <v>Valid</v>
      </c>
      <c r="AC88" t="str">
        <f>IF(OR(AB88="Invalid Discount",V88="Invalid Shipping"),
"Invalid",
IF(OR(Y88="Missing Region",
Z88="Missing Ship Mode",
AA88="Missing Discount",
X88="Flagged for Review"),
"Warning",
"Clean"))</f>
        <v>Clean</v>
      </c>
      <c r="AD88">
        <f t="shared" si="15"/>
        <v>0.1</v>
      </c>
      <c r="AE88">
        <f>N88*O88*(1-AD88)</f>
        <v>2390.2560000000003</v>
      </c>
      <c r="AF88">
        <f>AE88-R88</f>
        <v>894.31600000000026</v>
      </c>
      <c r="AG88" s="3">
        <f t="shared" si="16"/>
        <v>0.37415071858411825</v>
      </c>
      <c r="AH88" t="str">
        <f t="shared" si="17"/>
        <v>July</v>
      </c>
      <c r="AI88">
        <f t="shared" si="18"/>
        <v>2024</v>
      </c>
    </row>
    <row r="89" spans="1:35">
      <c r="A89" t="s">
        <v>386</v>
      </c>
      <c r="B89" s="2">
        <v>45506</v>
      </c>
      <c r="C89" s="2">
        <v>45507</v>
      </c>
      <c r="D89" t="s">
        <v>387</v>
      </c>
      <c r="E89" t="s">
        <v>85</v>
      </c>
      <c r="F89" t="s">
        <v>38</v>
      </c>
      <c r="G89" t="s">
        <v>52</v>
      </c>
      <c r="H89" t="s">
        <v>180</v>
      </c>
      <c r="I89" t="s">
        <v>181</v>
      </c>
      <c r="J89" t="s">
        <v>42</v>
      </c>
      <c r="K89" t="s">
        <v>167</v>
      </c>
      <c r="L89" t="s">
        <v>388</v>
      </c>
      <c r="M89" t="s">
        <v>73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46</v>
      </c>
      <c r="U89" t="s">
        <v>47</v>
      </c>
      <c r="V89" t="str">
        <f t="shared" si="9"/>
        <v>Valid</v>
      </c>
      <c r="W89">
        <f t="shared" si="10"/>
        <v>1</v>
      </c>
      <c r="Y89" t="str">
        <f t="shared" si="11"/>
        <v>OK</v>
      </c>
      <c r="Z89" t="str">
        <f t="shared" si="12"/>
        <v>OK</v>
      </c>
      <c r="AA89" t="str">
        <f t="shared" si="13"/>
        <v>OK</v>
      </c>
      <c r="AB89" t="str">
        <f t="shared" si="14"/>
        <v>Valid</v>
      </c>
      <c r="AC89" t="str">
        <f>IF(OR(AB89="Invalid Discount",V89="Invalid Shipping"),
"Invalid",
IF(OR(Y89="Missing Region",
Z89="Missing Ship Mode",
AA89="Missing Discount",
X89="Flagged for Review"),
"Warning",
"Clean"))</f>
        <v>Clean</v>
      </c>
      <c r="AD89">
        <f t="shared" si="15"/>
        <v>0</v>
      </c>
      <c r="AE89">
        <f>N89*O89*(1-AD89)</f>
        <v>23416.539999999997</v>
      </c>
      <c r="AF89">
        <f>AE89-R89</f>
        <v>7925.6499999999978</v>
      </c>
      <c r="AG89" s="3">
        <f t="shared" si="16"/>
        <v>0.33846375254414185</v>
      </c>
      <c r="AH89" t="str">
        <f t="shared" si="17"/>
        <v>August</v>
      </c>
      <c r="AI89">
        <f t="shared" si="18"/>
        <v>2024</v>
      </c>
    </row>
    <row r="90" spans="1:35">
      <c r="A90" t="s">
        <v>389</v>
      </c>
      <c r="B90" s="2">
        <v>45375</v>
      </c>
      <c r="C90" s="2">
        <v>45378</v>
      </c>
      <c r="D90" t="s">
        <v>390</v>
      </c>
      <c r="E90" t="s">
        <v>155</v>
      </c>
      <c r="F90" t="s">
        <v>51</v>
      </c>
      <c r="G90" t="s">
        <v>77</v>
      </c>
      <c r="H90" t="s">
        <v>78</v>
      </c>
      <c r="I90" t="s">
        <v>79</v>
      </c>
      <c r="J90" t="s">
        <v>55</v>
      </c>
      <c r="K90" t="s">
        <v>172</v>
      </c>
      <c r="L90" t="s">
        <v>391</v>
      </c>
      <c r="M90" t="s">
        <v>73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46</v>
      </c>
      <c r="U90" t="s">
        <v>47</v>
      </c>
      <c r="V90" t="str">
        <f t="shared" si="9"/>
        <v>Valid</v>
      </c>
      <c r="W90">
        <f t="shared" si="10"/>
        <v>3</v>
      </c>
      <c r="Y90" t="str">
        <f t="shared" si="11"/>
        <v>OK</v>
      </c>
      <c r="Z90" t="str">
        <f t="shared" si="12"/>
        <v>OK</v>
      </c>
      <c r="AA90" t="str">
        <f t="shared" si="13"/>
        <v>OK</v>
      </c>
      <c r="AB90" t="str">
        <f t="shared" si="14"/>
        <v>Valid</v>
      </c>
      <c r="AC90" t="str">
        <f>IF(OR(AB90="Invalid Discount",V90="Invalid Shipping"),
"Invalid",
IF(OR(Y90="Missing Region",
Z90="Missing Ship Mode",
AA90="Missing Discount",
X90="Flagged for Review"),
"Warning",
"Clean"))</f>
        <v>Clean</v>
      </c>
      <c r="AD90">
        <f t="shared" si="15"/>
        <v>0.05</v>
      </c>
      <c r="AE90">
        <f>N90*O90*(1-AD90)</f>
        <v>6241.0249999999996</v>
      </c>
      <c r="AF90">
        <f>AE90-R90</f>
        <v>895.14499999999953</v>
      </c>
      <c r="AG90" s="3">
        <f t="shared" si="16"/>
        <v>0.14342916427990587</v>
      </c>
      <c r="AH90" t="str">
        <f t="shared" si="17"/>
        <v>March</v>
      </c>
      <c r="AI90">
        <f t="shared" si="18"/>
        <v>2024</v>
      </c>
    </row>
    <row r="91" spans="1:35">
      <c r="A91" t="s">
        <v>392</v>
      </c>
      <c r="B91" s="2">
        <v>45540</v>
      </c>
      <c r="C91" s="2">
        <v>45540</v>
      </c>
      <c r="D91" t="s">
        <v>393</v>
      </c>
      <c r="E91" t="s">
        <v>279</v>
      </c>
      <c r="F91" t="s">
        <v>38</v>
      </c>
      <c r="G91" t="s">
        <v>68</v>
      </c>
      <c r="H91" t="s">
        <v>98</v>
      </c>
      <c r="I91" t="s">
        <v>99</v>
      </c>
      <c r="J91" t="s">
        <v>55</v>
      </c>
      <c r="K91" t="s">
        <v>172</v>
      </c>
      <c r="L91" t="s">
        <v>394</v>
      </c>
      <c r="M91" t="s">
        <v>73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125</v>
      </c>
      <c r="U91" t="s">
        <v>82</v>
      </c>
      <c r="V91" t="str">
        <f t="shared" si="9"/>
        <v>Valid</v>
      </c>
      <c r="W91">
        <f t="shared" si="10"/>
        <v>0</v>
      </c>
      <c r="Y91" t="str">
        <f t="shared" si="11"/>
        <v>OK</v>
      </c>
      <c r="Z91" t="str">
        <f t="shared" si="12"/>
        <v>OK</v>
      </c>
      <c r="AA91" t="str">
        <f t="shared" si="13"/>
        <v>OK</v>
      </c>
      <c r="AB91" t="str">
        <f t="shared" si="14"/>
        <v>Valid</v>
      </c>
      <c r="AC91" t="str">
        <f>IF(OR(AB91="Invalid Discount",V91="Invalid Shipping"),
"Invalid",
IF(OR(Y91="Missing Region",
Z91="Missing Ship Mode",
AA91="Missing Discount",
X91="Flagged for Review"),
"Warning",
"Clean"))</f>
        <v>Clean</v>
      </c>
      <c r="AD91">
        <f t="shared" si="15"/>
        <v>0.2</v>
      </c>
      <c r="AE91">
        <f>N91*O91*(1-AD91)</f>
        <v>21062.104000000003</v>
      </c>
      <c r="AF91">
        <f>AE91-R91</f>
        <v>9004.9740000000038</v>
      </c>
      <c r="AG91" s="3">
        <f t="shared" si="16"/>
        <v>0.42754389589947911</v>
      </c>
      <c r="AH91" t="str">
        <f t="shared" si="17"/>
        <v>September</v>
      </c>
      <c r="AI91">
        <f t="shared" si="18"/>
        <v>2024</v>
      </c>
    </row>
    <row r="92" spans="1:35">
      <c r="A92" t="s">
        <v>395</v>
      </c>
      <c r="B92" s="2">
        <v>45893</v>
      </c>
      <c r="C92" s="2">
        <v>45898</v>
      </c>
      <c r="D92" t="s">
        <v>396</v>
      </c>
      <c r="E92" t="s">
        <v>142</v>
      </c>
      <c r="F92" t="s">
        <v>51</v>
      </c>
      <c r="G92" t="s">
        <v>52</v>
      </c>
      <c r="H92" t="s">
        <v>159</v>
      </c>
      <c r="I92" t="s">
        <v>160</v>
      </c>
      <c r="J92" t="s">
        <v>88</v>
      </c>
      <c r="K92" t="s">
        <v>94</v>
      </c>
      <c r="L92" t="s">
        <v>397</v>
      </c>
      <c r="M92" t="s">
        <v>64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46</v>
      </c>
      <c r="U92" t="s">
        <v>47</v>
      </c>
      <c r="V92" t="str">
        <f t="shared" si="9"/>
        <v>Valid</v>
      </c>
      <c r="W92">
        <f t="shared" si="10"/>
        <v>5</v>
      </c>
      <c r="X92" t="s">
        <v>398</v>
      </c>
      <c r="Y92" t="str">
        <f t="shared" si="11"/>
        <v>OK</v>
      </c>
      <c r="Z92" t="str">
        <f t="shared" si="12"/>
        <v>OK</v>
      </c>
      <c r="AA92" t="str">
        <f t="shared" si="13"/>
        <v>OK</v>
      </c>
      <c r="AB92" t="str">
        <f t="shared" si="14"/>
        <v>Valid</v>
      </c>
      <c r="AC92" t="str">
        <f>IF(OR(AB92="Invalid Discount",V92="Invalid Shipping"),
"Invalid",
IF(OR(Y92="Missing Region",
Z92="Missing Ship Mode",
AA92="Missing Discount",
X92="Flagged for Review"),
"Warning",
"Clean"))</f>
        <v>Warning</v>
      </c>
      <c r="AD92">
        <f t="shared" si="15"/>
        <v>0.15</v>
      </c>
      <c r="AE92">
        <f>N92*O92*(1-AD92)</f>
        <v>9445.098</v>
      </c>
      <c r="AF92">
        <f>AE92-R92</f>
        <v>3858.8180000000002</v>
      </c>
      <c r="AG92" s="3">
        <f t="shared" si="16"/>
        <v>0.40855245758170006</v>
      </c>
      <c r="AH92" t="str">
        <f t="shared" si="17"/>
        <v>August</v>
      </c>
      <c r="AI92">
        <f t="shared" si="18"/>
        <v>2025</v>
      </c>
    </row>
    <row r="93" spans="1:35">
      <c r="A93" t="s">
        <v>399</v>
      </c>
      <c r="B93" s="2">
        <v>45718</v>
      </c>
      <c r="C93" s="2">
        <v>45724</v>
      </c>
      <c r="D93" t="s">
        <v>400</v>
      </c>
      <c r="E93" t="s">
        <v>146</v>
      </c>
      <c r="F93" t="s">
        <v>104</v>
      </c>
      <c r="G93" t="s">
        <v>77</v>
      </c>
      <c r="H93" t="s">
        <v>86</v>
      </c>
      <c r="I93" t="s">
        <v>87</v>
      </c>
      <c r="J93" t="s">
        <v>88</v>
      </c>
      <c r="K93" t="s">
        <v>94</v>
      </c>
      <c r="L93" t="s">
        <v>401</v>
      </c>
      <c r="M93" t="s">
        <v>45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46</v>
      </c>
      <c r="U93" t="s">
        <v>47</v>
      </c>
      <c r="V93" t="str">
        <f t="shared" si="9"/>
        <v>Valid</v>
      </c>
      <c r="W93">
        <f t="shared" si="10"/>
        <v>6</v>
      </c>
      <c r="Y93" t="str">
        <f t="shared" si="11"/>
        <v>OK</v>
      </c>
      <c r="Z93" t="str">
        <f t="shared" si="12"/>
        <v>OK</v>
      </c>
      <c r="AA93" t="str">
        <f t="shared" si="13"/>
        <v>OK</v>
      </c>
      <c r="AB93" t="str">
        <f t="shared" si="14"/>
        <v>Valid</v>
      </c>
      <c r="AC93" t="str">
        <f>IF(OR(AB93="Invalid Discount",V93="Invalid Shipping"),
"Invalid",
IF(OR(Y93="Missing Region",
Z93="Missing Ship Mode",
AA93="Missing Discount",
X93="Flagged for Review"),
"Warning",
"Clean"))</f>
        <v>Clean</v>
      </c>
      <c r="AD93">
        <f t="shared" si="15"/>
        <v>0</v>
      </c>
      <c r="AE93">
        <f>N93*O93*(1-AD93)</f>
        <v>2427.12</v>
      </c>
      <c r="AF93">
        <f>AE93-R93</f>
        <v>888.77</v>
      </c>
      <c r="AG93" s="3">
        <f t="shared" si="16"/>
        <v>0.36618296581957216</v>
      </c>
      <c r="AH93" t="str">
        <f t="shared" si="17"/>
        <v>March</v>
      </c>
      <c r="AI93">
        <f t="shared" si="18"/>
        <v>2025</v>
      </c>
    </row>
    <row r="94" spans="1:35">
      <c r="A94" t="s">
        <v>402</v>
      </c>
      <c r="B94" s="2">
        <v>45680</v>
      </c>
      <c r="C94" s="2">
        <v>45683</v>
      </c>
      <c r="D94" t="s">
        <v>403</v>
      </c>
      <c r="E94" t="s">
        <v>142</v>
      </c>
      <c r="F94" t="s">
        <v>38</v>
      </c>
      <c r="G94" t="s">
        <v>77</v>
      </c>
      <c r="H94" t="s">
        <v>86</v>
      </c>
      <c r="I94" t="s">
        <v>87</v>
      </c>
      <c r="J94" t="s">
        <v>42</v>
      </c>
      <c r="K94" t="s">
        <v>43</v>
      </c>
      <c r="L94" t="s">
        <v>404</v>
      </c>
      <c r="M94" t="s">
        <v>73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46</v>
      </c>
      <c r="U94" t="s">
        <v>47</v>
      </c>
      <c r="V94" t="str">
        <f t="shared" si="9"/>
        <v>Valid</v>
      </c>
      <c r="W94">
        <f t="shared" si="10"/>
        <v>3</v>
      </c>
      <c r="Y94" t="str">
        <f t="shared" si="11"/>
        <v>OK</v>
      </c>
      <c r="Z94" t="str">
        <f t="shared" si="12"/>
        <v>OK</v>
      </c>
      <c r="AA94" t="str">
        <f t="shared" si="13"/>
        <v>OK</v>
      </c>
      <c r="AB94" t="str">
        <f t="shared" si="14"/>
        <v>Valid</v>
      </c>
      <c r="AC94" t="str">
        <f>IF(OR(AB94="Invalid Discount",V94="Invalid Shipping"),
"Invalid",
IF(OR(Y94="Missing Region",
Z94="Missing Ship Mode",
AA94="Missing Discount",
X94="Flagged for Review"),
"Warning",
"Clean"))</f>
        <v>Clean</v>
      </c>
      <c r="AD94">
        <f t="shared" si="15"/>
        <v>0.1</v>
      </c>
      <c r="AE94">
        <f>N94*O94*(1-AD94)</f>
        <v>36111.906000000003</v>
      </c>
      <c r="AF94">
        <f>AE94-R94</f>
        <v>6917.4060000000027</v>
      </c>
      <c r="AG94" s="3">
        <f t="shared" si="16"/>
        <v>0.19155471882320479</v>
      </c>
      <c r="AH94" t="str">
        <f t="shared" si="17"/>
        <v>January</v>
      </c>
      <c r="AI94">
        <f t="shared" si="18"/>
        <v>2025</v>
      </c>
    </row>
    <row r="95" spans="1:35">
      <c r="A95" t="s">
        <v>405</v>
      </c>
      <c r="B95" s="2">
        <v>45298</v>
      </c>
      <c r="C95" s="2">
        <v>45304</v>
      </c>
      <c r="D95" t="s">
        <v>406</v>
      </c>
      <c r="E95" t="s">
        <v>155</v>
      </c>
      <c r="F95" t="s">
        <v>104</v>
      </c>
      <c r="G95" t="s">
        <v>39</v>
      </c>
      <c r="H95" t="s">
        <v>150</v>
      </c>
      <c r="I95" t="s">
        <v>151</v>
      </c>
      <c r="J95" t="s">
        <v>42</v>
      </c>
      <c r="K95" t="s">
        <v>167</v>
      </c>
      <c r="L95" t="s">
        <v>407</v>
      </c>
      <c r="M95" t="s">
        <v>73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46</v>
      </c>
      <c r="U95" t="s">
        <v>47</v>
      </c>
      <c r="V95" t="str">
        <f t="shared" si="9"/>
        <v>Valid</v>
      </c>
      <c r="W95">
        <f t="shared" si="10"/>
        <v>6</v>
      </c>
      <c r="Y95" t="str">
        <f t="shared" si="11"/>
        <v>OK</v>
      </c>
      <c r="Z95" t="str">
        <f t="shared" si="12"/>
        <v>OK</v>
      </c>
      <c r="AA95" t="str">
        <f t="shared" si="13"/>
        <v>OK</v>
      </c>
      <c r="AB95" t="str">
        <f t="shared" si="14"/>
        <v>Invalid Discount</v>
      </c>
      <c r="AC95" t="str">
        <f>IF(OR(AB95="Invalid Discount",V95="Invalid Shipping"),
"Invalid",
IF(OR(Y95="Missing Region",
Z95="Missing Ship Mode",
AA95="Missing Discount",
X95="Flagged for Review"),
"Warning",
"Clean"))</f>
        <v>Invalid</v>
      </c>
      <c r="AD95">
        <f t="shared" si="15"/>
        <v>-0.09</v>
      </c>
      <c r="AE95">
        <f>N95*O95*(1-AD95)</f>
        <v>21279.841099999998</v>
      </c>
      <c r="AF95">
        <f>AE95-R95</f>
        <v>8824.0610999999972</v>
      </c>
      <c r="AG95" s="3">
        <f t="shared" si="16"/>
        <v>0.41466762174272054</v>
      </c>
      <c r="AH95" t="str">
        <f t="shared" si="17"/>
        <v>January</v>
      </c>
      <c r="AI95">
        <f t="shared" si="18"/>
        <v>2024</v>
      </c>
    </row>
    <row r="96" spans="1:35">
      <c r="A96" t="s">
        <v>408</v>
      </c>
      <c r="B96" s="2">
        <v>45541</v>
      </c>
      <c r="C96" s="2">
        <v>45544</v>
      </c>
      <c r="D96" t="s">
        <v>409</v>
      </c>
      <c r="E96" t="s">
        <v>176</v>
      </c>
      <c r="F96" t="s">
        <v>38</v>
      </c>
      <c r="G96" t="s">
        <v>39</v>
      </c>
      <c r="H96" t="s">
        <v>251</v>
      </c>
      <c r="I96" t="s">
        <v>252</v>
      </c>
      <c r="J96" t="s">
        <v>88</v>
      </c>
      <c r="K96" t="s">
        <v>185</v>
      </c>
      <c r="L96" t="s">
        <v>410</v>
      </c>
      <c r="M96" t="s">
        <v>45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125</v>
      </c>
      <c r="U96" t="s">
        <v>82</v>
      </c>
      <c r="V96" t="str">
        <f t="shared" si="9"/>
        <v>Valid</v>
      </c>
      <c r="W96">
        <f t="shared" si="10"/>
        <v>3</v>
      </c>
      <c r="Y96" t="str">
        <f t="shared" si="11"/>
        <v>OK</v>
      </c>
      <c r="Z96" t="str">
        <f t="shared" si="12"/>
        <v>OK</v>
      </c>
      <c r="AA96" t="str">
        <f t="shared" si="13"/>
        <v>OK</v>
      </c>
      <c r="AB96" t="str">
        <f t="shared" si="14"/>
        <v>Valid</v>
      </c>
      <c r="AC96" t="str">
        <f>IF(OR(AB96="Invalid Discount",V96="Invalid Shipping"),
"Invalid",
IF(OR(Y96="Missing Region",
Z96="Missing Ship Mode",
AA96="Missing Discount",
X96="Flagged for Review"),
"Warning",
"Clean"))</f>
        <v>Clean</v>
      </c>
      <c r="AD96">
        <f t="shared" si="15"/>
        <v>0</v>
      </c>
      <c r="AE96">
        <f>N96*O96*(1-AD96)</f>
        <v>26470.710000000003</v>
      </c>
      <c r="AF96">
        <f>AE96-R96</f>
        <v>5103.1100000000042</v>
      </c>
      <c r="AG96" s="3">
        <f t="shared" si="16"/>
        <v>0.19278326875251944</v>
      </c>
      <c r="AH96" t="str">
        <f t="shared" si="17"/>
        <v>September</v>
      </c>
      <c r="AI96">
        <f t="shared" si="18"/>
        <v>2024</v>
      </c>
    </row>
    <row r="97" spans="1:35">
      <c r="A97" t="s">
        <v>411</v>
      </c>
      <c r="B97" s="2">
        <v>45905</v>
      </c>
      <c r="C97" s="2">
        <v>45910</v>
      </c>
      <c r="D97" t="s">
        <v>412</v>
      </c>
      <c r="E97" t="s">
        <v>146</v>
      </c>
      <c r="F97" t="s">
        <v>104</v>
      </c>
      <c r="G97" t="s">
        <v>77</v>
      </c>
      <c r="H97" t="s">
        <v>204</v>
      </c>
      <c r="I97" t="s">
        <v>205</v>
      </c>
      <c r="J97" t="s">
        <v>55</v>
      </c>
      <c r="K97" t="s">
        <v>172</v>
      </c>
      <c r="L97" t="s">
        <v>413</v>
      </c>
      <c r="M97" t="s">
        <v>58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46</v>
      </c>
      <c r="U97" t="s">
        <v>47</v>
      </c>
      <c r="V97" t="str">
        <f t="shared" si="9"/>
        <v>Valid</v>
      </c>
      <c r="W97">
        <f t="shared" si="10"/>
        <v>5</v>
      </c>
      <c r="Y97" t="str">
        <f t="shared" si="11"/>
        <v>OK</v>
      </c>
      <c r="Z97" t="str">
        <f t="shared" si="12"/>
        <v>OK</v>
      </c>
      <c r="AA97" t="str">
        <f t="shared" si="13"/>
        <v>OK</v>
      </c>
      <c r="AB97" t="str">
        <f t="shared" si="14"/>
        <v>Valid</v>
      </c>
      <c r="AC97" t="str">
        <f>IF(OR(AB97="Invalid Discount",V97="Invalid Shipping"),
"Invalid",
IF(OR(Y97="Missing Region",
Z97="Missing Ship Mode",
AA97="Missing Discount",
X97="Flagged for Review"),
"Warning",
"Clean"))</f>
        <v>Clean</v>
      </c>
      <c r="AD97">
        <f t="shared" si="15"/>
        <v>0</v>
      </c>
      <c r="AE97">
        <f>N97*O97*(1-AD97)</f>
        <v>10524.78</v>
      </c>
      <c r="AF97">
        <f>AE97-R97</f>
        <v>1683.7300000000014</v>
      </c>
      <c r="AG97" s="3">
        <f t="shared" si="16"/>
        <v>0.15997769074507984</v>
      </c>
      <c r="AH97" t="str">
        <f t="shared" si="17"/>
        <v>September</v>
      </c>
      <c r="AI97">
        <f t="shared" si="18"/>
        <v>2025</v>
      </c>
    </row>
    <row r="98" spans="1:35">
      <c r="A98" t="s">
        <v>414</v>
      </c>
      <c r="B98" s="2">
        <v>45448</v>
      </c>
      <c r="C98" s="2">
        <v>45450</v>
      </c>
      <c r="D98" t="s">
        <v>415</v>
      </c>
      <c r="E98" t="s">
        <v>132</v>
      </c>
      <c r="F98" t="s">
        <v>109</v>
      </c>
      <c r="G98" t="s">
        <v>52</v>
      </c>
      <c r="H98" t="s">
        <v>53</v>
      </c>
      <c r="I98" t="s">
        <v>54</v>
      </c>
      <c r="J98" t="s">
        <v>88</v>
      </c>
      <c r="K98" t="s">
        <v>94</v>
      </c>
      <c r="L98" t="s">
        <v>416</v>
      </c>
      <c r="M98" t="s">
        <v>45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46</v>
      </c>
      <c r="U98" t="s">
        <v>47</v>
      </c>
      <c r="V98" t="str">
        <f t="shared" si="9"/>
        <v>Valid</v>
      </c>
      <c r="W98">
        <f t="shared" si="10"/>
        <v>2</v>
      </c>
      <c r="Y98" t="str">
        <f t="shared" si="11"/>
        <v>OK</v>
      </c>
      <c r="Z98" t="str">
        <f t="shared" si="12"/>
        <v>OK</v>
      </c>
      <c r="AA98" t="str">
        <f t="shared" si="13"/>
        <v>OK</v>
      </c>
      <c r="AB98" t="str">
        <f t="shared" si="14"/>
        <v>Valid</v>
      </c>
      <c r="AC98" t="str">
        <f>IF(OR(AB98="Invalid Discount",V98="Invalid Shipping"),
"Invalid",
IF(OR(Y98="Missing Region",
Z98="Missing Ship Mode",
AA98="Missing Discount",
X98="Flagged for Review"),
"Warning",
"Clean"))</f>
        <v>Clean</v>
      </c>
      <c r="AD98">
        <f t="shared" si="15"/>
        <v>0.15</v>
      </c>
      <c r="AE98">
        <f>N98*O98*(1-AD98)</f>
        <v>3840.7079999999996</v>
      </c>
      <c r="AF98">
        <f>AE98-R98</f>
        <v>1324.4179999999997</v>
      </c>
      <c r="AG98" s="3">
        <f t="shared" si="16"/>
        <v>0.34483694152224009</v>
      </c>
      <c r="AH98" t="str">
        <f t="shared" si="17"/>
        <v>June</v>
      </c>
      <c r="AI98">
        <f t="shared" si="18"/>
        <v>2024</v>
      </c>
    </row>
    <row r="99" spans="1:35">
      <c r="A99" t="s">
        <v>417</v>
      </c>
      <c r="B99" s="2">
        <v>45877</v>
      </c>
      <c r="C99" s="2">
        <v>45880</v>
      </c>
      <c r="D99" t="s">
        <v>418</v>
      </c>
      <c r="E99" t="s">
        <v>176</v>
      </c>
      <c r="F99" t="s">
        <v>51</v>
      </c>
      <c r="G99" t="s">
        <v>77</v>
      </c>
      <c r="H99" t="s">
        <v>194</v>
      </c>
      <c r="I99" t="s">
        <v>195</v>
      </c>
      <c r="J99" t="s">
        <v>42</v>
      </c>
      <c r="K99" t="s">
        <v>138</v>
      </c>
      <c r="L99" t="s">
        <v>419</v>
      </c>
      <c r="M99" t="s">
        <v>58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125</v>
      </c>
      <c r="U99" t="s">
        <v>117</v>
      </c>
      <c r="V99" t="str">
        <f t="shared" si="9"/>
        <v>Valid</v>
      </c>
      <c r="W99">
        <f t="shared" si="10"/>
        <v>3</v>
      </c>
      <c r="Y99" t="str">
        <f t="shared" si="11"/>
        <v>OK</v>
      </c>
      <c r="Z99" t="str">
        <f t="shared" si="12"/>
        <v>OK</v>
      </c>
      <c r="AA99" t="str">
        <f t="shared" si="13"/>
        <v>OK</v>
      </c>
      <c r="AB99" t="str">
        <f t="shared" si="14"/>
        <v>Valid</v>
      </c>
      <c r="AC99" t="str">
        <f>IF(OR(AB99="Invalid Discount",V99="Invalid Shipping"),
"Invalid",
IF(OR(Y99="Missing Region",
Z99="Missing Ship Mode",
AA99="Missing Discount",
X99="Flagged for Review"),
"Warning",
"Clean"))</f>
        <v>Clean</v>
      </c>
      <c r="AD99">
        <f t="shared" si="15"/>
        <v>0.2</v>
      </c>
      <c r="AE99">
        <f>N99*O99*(1-AD99)</f>
        <v>14409.44</v>
      </c>
      <c r="AF99">
        <f>AE99-R99</f>
        <v>5599.4700000000012</v>
      </c>
      <c r="AG99" s="3">
        <f t="shared" si="16"/>
        <v>0.38859733619071951</v>
      </c>
      <c r="AH99" t="str">
        <f t="shared" si="17"/>
        <v>August</v>
      </c>
      <c r="AI99">
        <f t="shared" si="18"/>
        <v>2025</v>
      </c>
    </row>
    <row r="100" spans="1:35">
      <c r="A100" t="s">
        <v>420</v>
      </c>
      <c r="B100" s="2">
        <v>45317</v>
      </c>
      <c r="C100" s="2">
        <v>45323</v>
      </c>
      <c r="D100" t="s">
        <v>421</v>
      </c>
      <c r="E100" t="s">
        <v>155</v>
      </c>
      <c r="F100" t="s">
        <v>109</v>
      </c>
      <c r="G100" t="s">
        <v>68</v>
      </c>
      <c r="H100" t="s">
        <v>199</v>
      </c>
      <c r="I100" t="s">
        <v>200</v>
      </c>
      <c r="J100" t="s">
        <v>88</v>
      </c>
      <c r="K100" t="s">
        <v>94</v>
      </c>
      <c r="L100" t="s">
        <v>422</v>
      </c>
      <c r="M100" t="s">
        <v>219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46</v>
      </c>
      <c r="U100" t="s">
        <v>47</v>
      </c>
      <c r="V100" t="str">
        <f t="shared" si="9"/>
        <v>Valid</v>
      </c>
      <c r="W100">
        <f t="shared" si="10"/>
        <v>6</v>
      </c>
      <c r="Y100" t="str">
        <f t="shared" si="11"/>
        <v>OK</v>
      </c>
      <c r="Z100" t="str">
        <f t="shared" si="12"/>
        <v>Missing Ship Mode</v>
      </c>
      <c r="AA100" t="str">
        <f t="shared" si="13"/>
        <v>OK</v>
      </c>
      <c r="AB100" t="str">
        <f t="shared" si="14"/>
        <v>Valid</v>
      </c>
      <c r="AC100" t="str">
        <f>IF(OR(AB100="Invalid Discount",V100="Invalid Shipping"),
"Invalid",
IF(OR(Y100="Missing Region",
Z100="Missing Ship Mode",
AA100="Missing Discount",
X100="Flagged for Review"),
"Warning",
"Clean"))</f>
        <v>Warning</v>
      </c>
      <c r="AD100">
        <f t="shared" si="15"/>
        <v>0.1</v>
      </c>
      <c r="AE100">
        <f>N100*O100*(1-AD100)</f>
        <v>15184.295999999998</v>
      </c>
      <c r="AF100">
        <f>AE100-R100</f>
        <v>3913.5559999999987</v>
      </c>
      <c r="AG100" s="3">
        <f t="shared" si="16"/>
        <v>0.25773707256497103</v>
      </c>
      <c r="AH100" t="str">
        <f t="shared" si="17"/>
        <v>January</v>
      </c>
      <c r="AI100">
        <f t="shared" si="18"/>
        <v>2024</v>
      </c>
    </row>
    <row r="101" spans="1:35">
      <c r="A101" t="s">
        <v>423</v>
      </c>
      <c r="B101" s="2">
        <v>45668</v>
      </c>
      <c r="C101" s="2">
        <v>45668</v>
      </c>
      <c r="D101" t="s">
        <v>424</v>
      </c>
      <c r="E101" t="s">
        <v>103</v>
      </c>
      <c r="F101" t="s">
        <v>51</v>
      </c>
      <c r="G101" t="s">
        <v>77</v>
      </c>
      <c r="H101" t="s">
        <v>40</v>
      </c>
      <c r="I101" t="s">
        <v>123</v>
      </c>
      <c r="J101" t="s">
        <v>88</v>
      </c>
      <c r="K101" t="s">
        <v>89</v>
      </c>
      <c r="L101" t="s">
        <v>425</v>
      </c>
      <c r="M101" t="s">
        <v>58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46</v>
      </c>
      <c r="U101" t="s">
        <v>47</v>
      </c>
      <c r="V101" t="str">
        <f t="shared" si="9"/>
        <v>Valid</v>
      </c>
      <c r="W101">
        <f t="shared" si="10"/>
        <v>0</v>
      </c>
      <c r="Y101" t="str">
        <f t="shared" si="11"/>
        <v>OK</v>
      </c>
      <c r="Z101" t="str">
        <f t="shared" si="12"/>
        <v>OK</v>
      </c>
      <c r="AA101" t="str">
        <f t="shared" si="13"/>
        <v>OK</v>
      </c>
      <c r="AB101" t="str">
        <f t="shared" si="14"/>
        <v>Valid</v>
      </c>
      <c r="AC101" t="str">
        <f>IF(OR(AB101="Invalid Discount",V101="Invalid Shipping"),
"Invalid",
IF(OR(Y101="Missing Region",
Z101="Missing Ship Mode",
AA101="Missing Discount",
X101="Flagged for Review"),
"Warning",
"Clean"))</f>
        <v>Clean</v>
      </c>
      <c r="AD101">
        <f t="shared" si="15"/>
        <v>0</v>
      </c>
      <c r="AE101">
        <f>N101*O101*(1-AD101)</f>
        <v>6495.87</v>
      </c>
      <c r="AF101">
        <f>AE101-R101</f>
        <v>1794.9799999999996</v>
      </c>
      <c r="AG101" s="3">
        <f t="shared" si="16"/>
        <v>0.27632634273777024</v>
      </c>
      <c r="AH101" t="str">
        <f t="shared" si="17"/>
        <v>January</v>
      </c>
      <c r="AI101">
        <f t="shared" si="18"/>
        <v>2025</v>
      </c>
    </row>
    <row r="102" spans="1:35">
      <c r="A102" t="s">
        <v>426</v>
      </c>
      <c r="B102" s="2">
        <v>45912</v>
      </c>
      <c r="C102" s="2">
        <v>45918</v>
      </c>
      <c r="D102" t="s">
        <v>427</v>
      </c>
      <c r="E102" t="s">
        <v>142</v>
      </c>
      <c r="F102" t="s">
        <v>109</v>
      </c>
      <c r="G102" t="s">
        <v>68</v>
      </c>
      <c r="H102" t="s">
        <v>199</v>
      </c>
      <c r="I102" t="s">
        <v>200</v>
      </c>
      <c r="J102" t="s">
        <v>42</v>
      </c>
      <c r="K102" t="s">
        <v>138</v>
      </c>
      <c r="L102" t="s">
        <v>428</v>
      </c>
      <c r="M102" t="s">
        <v>73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46</v>
      </c>
      <c r="U102" t="s">
        <v>47</v>
      </c>
      <c r="V102" t="str">
        <f t="shared" si="9"/>
        <v>Valid</v>
      </c>
      <c r="W102">
        <f t="shared" si="10"/>
        <v>6</v>
      </c>
      <c r="Y102" t="str">
        <f t="shared" si="11"/>
        <v>OK</v>
      </c>
      <c r="Z102" t="str">
        <f t="shared" si="12"/>
        <v>OK</v>
      </c>
      <c r="AA102" t="str">
        <f t="shared" si="13"/>
        <v>OK</v>
      </c>
      <c r="AB102" t="str">
        <f t="shared" si="14"/>
        <v>Valid</v>
      </c>
      <c r="AC102" t="str">
        <f>IF(OR(AB102="Invalid Discount",V102="Invalid Shipping"),
"Invalid",
IF(OR(Y102="Missing Region",
Z102="Missing Ship Mode",
AA102="Missing Discount",
X102="Flagged for Review"),
"Warning",
"Clean"))</f>
        <v>Clean</v>
      </c>
      <c r="AD102">
        <f t="shared" si="15"/>
        <v>0.05</v>
      </c>
      <c r="AE102">
        <f>N102*O102*(1-AD102)</f>
        <v>9540.659999999998</v>
      </c>
      <c r="AF102">
        <f>AE102-R102</f>
        <v>3979.1699999999983</v>
      </c>
      <c r="AG102" s="3">
        <f t="shared" si="16"/>
        <v>0.41707491934520241</v>
      </c>
      <c r="AH102" t="str">
        <f t="shared" si="17"/>
        <v>September</v>
      </c>
      <c r="AI102">
        <f t="shared" si="18"/>
        <v>2025</v>
      </c>
    </row>
    <row r="103" spans="1:35">
      <c r="A103" t="s">
        <v>429</v>
      </c>
      <c r="B103" s="2">
        <v>45465</v>
      </c>
      <c r="C103" s="2">
        <v>45469</v>
      </c>
      <c r="D103" t="s">
        <v>430</v>
      </c>
      <c r="E103" t="s">
        <v>155</v>
      </c>
      <c r="F103" t="s">
        <v>109</v>
      </c>
      <c r="G103" t="s">
        <v>52</v>
      </c>
      <c r="H103" t="s">
        <v>159</v>
      </c>
      <c r="I103" t="s">
        <v>160</v>
      </c>
      <c r="J103" t="s">
        <v>55</v>
      </c>
      <c r="K103" t="s">
        <v>71</v>
      </c>
      <c r="L103" t="s">
        <v>431</v>
      </c>
      <c r="M103" t="s">
        <v>64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46</v>
      </c>
      <c r="U103" t="s">
        <v>47</v>
      </c>
      <c r="V103" t="str">
        <f t="shared" si="9"/>
        <v>Valid</v>
      </c>
      <c r="W103">
        <f t="shared" si="10"/>
        <v>4</v>
      </c>
      <c r="Y103" t="str">
        <f t="shared" si="11"/>
        <v>OK</v>
      </c>
      <c r="Z103" t="str">
        <f t="shared" si="12"/>
        <v>OK</v>
      </c>
      <c r="AA103" t="str">
        <f t="shared" si="13"/>
        <v>OK</v>
      </c>
      <c r="AB103" t="str">
        <f t="shared" si="14"/>
        <v>Valid</v>
      </c>
      <c r="AC103" t="str">
        <f>IF(OR(AB103="Invalid Discount",V103="Invalid Shipping"),
"Invalid",
IF(OR(Y103="Missing Region",
Z103="Missing Ship Mode",
AA103="Missing Discount",
X103="Flagged for Review"),
"Warning",
"Clean"))</f>
        <v>Clean</v>
      </c>
      <c r="AD103">
        <f t="shared" si="15"/>
        <v>0.25</v>
      </c>
      <c r="AE103">
        <f>N103*O103*(1-AD103)</f>
        <v>16486.95</v>
      </c>
      <c r="AF103">
        <f>AE103-R103</f>
        <v>4432.8100000000013</v>
      </c>
      <c r="AG103" s="3">
        <f t="shared" si="16"/>
        <v>0.26886780150361356</v>
      </c>
      <c r="AH103" t="str">
        <f t="shared" si="17"/>
        <v>June</v>
      </c>
      <c r="AI103">
        <f t="shared" si="18"/>
        <v>2024</v>
      </c>
    </row>
    <row r="104" spans="1:35">
      <c r="A104" t="s">
        <v>432</v>
      </c>
      <c r="B104" s="2">
        <v>45850</v>
      </c>
      <c r="C104" s="2">
        <v>45854</v>
      </c>
      <c r="D104" t="s">
        <v>433</v>
      </c>
      <c r="E104" t="s">
        <v>85</v>
      </c>
      <c r="F104" t="s">
        <v>38</v>
      </c>
      <c r="G104" t="s">
        <v>68</v>
      </c>
      <c r="H104" t="s">
        <v>189</v>
      </c>
      <c r="I104" t="s">
        <v>190</v>
      </c>
      <c r="J104" t="s">
        <v>55</v>
      </c>
      <c r="K104" t="s">
        <v>80</v>
      </c>
      <c r="L104" t="s">
        <v>434</v>
      </c>
      <c r="M104" t="s">
        <v>64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116</v>
      </c>
      <c r="U104" t="s">
        <v>82</v>
      </c>
      <c r="V104" t="str">
        <f t="shared" si="9"/>
        <v>Valid</v>
      </c>
      <c r="W104">
        <f t="shared" si="10"/>
        <v>4</v>
      </c>
      <c r="Y104" t="str">
        <f t="shared" si="11"/>
        <v>OK</v>
      </c>
      <c r="Z104" t="str">
        <f t="shared" si="12"/>
        <v>OK</v>
      </c>
      <c r="AA104" t="str">
        <f t="shared" si="13"/>
        <v>OK</v>
      </c>
      <c r="AB104" t="str">
        <f t="shared" si="14"/>
        <v>Valid</v>
      </c>
      <c r="AC104" t="str">
        <f>IF(OR(AB104="Invalid Discount",V104="Invalid Shipping"),
"Invalid",
IF(OR(Y104="Missing Region",
Z104="Missing Ship Mode",
AA104="Missing Discount",
X104="Flagged for Review"),
"Warning",
"Clean"))</f>
        <v>Clean</v>
      </c>
      <c r="AD104">
        <f t="shared" si="15"/>
        <v>0</v>
      </c>
      <c r="AE104">
        <f>N104*O104*(1-AD104)</f>
        <v>11462.84</v>
      </c>
      <c r="AF104">
        <f>AE104-R104</f>
        <v>2483.0599999999995</v>
      </c>
      <c r="AG104" s="3">
        <f t="shared" si="16"/>
        <v>0.21661822026653077</v>
      </c>
      <c r="AH104" t="str">
        <f t="shared" si="17"/>
        <v>July</v>
      </c>
      <c r="AI104">
        <f t="shared" si="18"/>
        <v>2025</v>
      </c>
    </row>
    <row r="105" spans="1:35">
      <c r="A105" t="s">
        <v>435</v>
      </c>
      <c r="B105" s="2">
        <v>45779</v>
      </c>
      <c r="C105" s="2">
        <v>45787</v>
      </c>
      <c r="D105" t="s">
        <v>436</v>
      </c>
      <c r="E105" t="s">
        <v>279</v>
      </c>
      <c r="F105" t="s">
        <v>104</v>
      </c>
      <c r="G105" t="s">
        <v>77</v>
      </c>
      <c r="H105" t="s">
        <v>78</v>
      </c>
      <c r="I105" t="s">
        <v>79</v>
      </c>
      <c r="J105" t="s">
        <v>55</v>
      </c>
      <c r="K105" t="s">
        <v>56</v>
      </c>
      <c r="L105" t="s">
        <v>437</v>
      </c>
      <c r="M105" t="s">
        <v>64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46</v>
      </c>
      <c r="U105" t="s">
        <v>47</v>
      </c>
      <c r="V105" t="str">
        <f t="shared" si="9"/>
        <v>Valid</v>
      </c>
      <c r="W105">
        <f t="shared" si="10"/>
        <v>8</v>
      </c>
      <c r="Y105" t="str">
        <f t="shared" si="11"/>
        <v>OK</v>
      </c>
      <c r="Z105" t="str">
        <f t="shared" si="12"/>
        <v>OK</v>
      </c>
      <c r="AA105" t="str">
        <f t="shared" si="13"/>
        <v>OK</v>
      </c>
      <c r="AB105" t="str">
        <f t="shared" si="14"/>
        <v>Valid</v>
      </c>
      <c r="AC105" t="str">
        <f>IF(OR(AB105="Invalid Discount",V105="Invalid Shipping"),
"Invalid",
IF(OR(Y105="Missing Region",
Z105="Missing Ship Mode",
AA105="Missing Discount",
X105="Flagged for Review"),
"Warning",
"Clean"))</f>
        <v>Clean</v>
      </c>
      <c r="AD105">
        <f t="shared" si="15"/>
        <v>0.2</v>
      </c>
      <c r="AE105">
        <f>N105*O105*(1-AD105)</f>
        <v>7809.0880000000006</v>
      </c>
      <c r="AF105">
        <f>AE105-R105</f>
        <v>1151.3380000000006</v>
      </c>
      <c r="AG105" s="3">
        <f t="shared" si="16"/>
        <v>0.14743565445798543</v>
      </c>
      <c r="AH105" t="str">
        <f t="shared" si="17"/>
        <v>May</v>
      </c>
      <c r="AI105">
        <f t="shared" si="18"/>
        <v>2025</v>
      </c>
    </row>
    <row r="106" spans="1:35">
      <c r="A106" t="s">
        <v>438</v>
      </c>
      <c r="B106" s="2">
        <v>45689</v>
      </c>
      <c r="C106" s="2">
        <v>45696</v>
      </c>
      <c r="D106" t="s">
        <v>439</v>
      </c>
      <c r="E106" t="s">
        <v>76</v>
      </c>
      <c r="F106" t="s">
        <v>38</v>
      </c>
      <c r="G106" t="s">
        <v>68</v>
      </c>
      <c r="H106" t="s">
        <v>189</v>
      </c>
      <c r="I106" t="s">
        <v>190</v>
      </c>
      <c r="J106" t="s">
        <v>42</v>
      </c>
      <c r="K106" t="s">
        <v>105</v>
      </c>
      <c r="L106" t="s">
        <v>440</v>
      </c>
      <c r="M106" t="s">
        <v>58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46</v>
      </c>
      <c r="U106" t="s">
        <v>82</v>
      </c>
      <c r="V106" t="str">
        <f t="shared" si="9"/>
        <v>Valid</v>
      </c>
      <c r="W106">
        <f t="shared" si="10"/>
        <v>7</v>
      </c>
      <c r="Y106" t="str">
        <f t="shared" si="11"/>
        <v>OK</v>
      </c>
      <c r="Z106" t="str">
        <f t="shared" si="12"/>
        <v>OK</v>
      </c>
      <c r="AA106" t="str">
        <f t="shared" si="13"/>
        <v>OK</v>
      </c>
      <c r="AB106" t="str">
        <f t="shared" si="14"/>
        <v>Valid</v>
      </c>
      <c r="AC106" t="str">
        <f>IF(OR(AB106="Invalid Discount",V106="Invalid Shipping"),
"Invalid",
IF(OR(Y106="Missing Region",
Z106="Missing Ship Mode",
AA106="Missing Discount",
X106="Flagged for Review"),
"Warning",
"Clean"))</f>
        <v>Clean</v>
      </c>
      <c r="AD106">
        <f t="shared" si="15"/>
        <v>0.25</v>
      </c>
      <c r="AE106">
        <f>N106*O106*(1-AD106)</f>
        <v>7922.0250000000005</v>
      </c>
      <c r="AF106">
        <f>AE106-R106</f>
        <v>2302.0750000000007</v>
      </c>
      <c r="AG106" s="3">
        <f t="shared" si="16"/>
        <v>0.29059173633004193</v>
      </c>
      <c r="AH106" t="str">
        <f t="shared" si="17"/>
        <v>February</v>
      </c>
      <c r="AI106">
        <f t="shared" si="18"/>
        <v>2025</v>
      </c>
    </row>
    <row r="107" spans="1:35">
      <c r="A107" t="s">
        <v>441</v>
      </c>
      <c r="B107" s="2">
        <v>45467</v>
      </c>
      <c r="C107" s="2">
        <v>45472</v>
      </c>
      <c r="D107" t="s">
        <v>442</v>
      </c>
      <c r="E107" t="s">
        <v>50</v>
      </c>
      <c r="F107" t="s">
        <v>109</v>
      </c>
      <c r="G107" t="s">
        <v>52</v>
      </c>
      <c r="H107" t="s">
        <v>113</v>
      </c>
      <c r="I107" t="s">
        <v>114</v>
      </c>
      <c r="J107" t="s">
        <v>55</v>
      </c>
      <c r="K107" t="s">
        <v>56</v>
      </c>
      <c r="L107" t="s">
        <v>443</v>
      </c>
      <c r="M107" t="s">
        <v>45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46</v>
      </c>
      <c r="U107" t="s">
        <v>47</v>
      </c>
      <c r="V107" t="str">
        <f t="shared" si="9"/>
        <v>Valid</v>
      </c>
      <c r="W107">
        <f t="shared" si="10"/>
        <v>5</v>
      </c>
      <c r="Y107" t="str">
        <f t="shared" si="11"/>
        <v>OK</v>
      </c>
      <c r="Z107" t="str">
        <f t="shared" si="12"/>
        <v>OK</v>
      </c>
      <c r="AA107" t="str">
        <f t="shared" si="13"/>
        <v>OK</v>
      </c>
      <c r="AB107" t="str">
        <f t="shared" si="14"/>
        <v>Valid</v>
      </c>
      <c r="AC107" t="str">
        <f>IF(OR(AB107="Invalid Discount",V107="Invalid Shipping"),
"Invalid",
IF(OR(Y107="Missing Region",
Z107="Missing Ship Mode",
AA107="Missing Discount",
X107="Flagged for Review"),
"Warning",
"Clean"))</f>
        <v>Clean</v>
      </c>
      <c r="AD107">
        <f t="shared" si="15"/>
        <v>0.1</v>
      </c>
      <c r="AE107">
        <f>N107*O107*(1-AD107)</f>
        <v>1233</v>
      </c>
      <c r="AF107">
        <f>AE107-R107</f>
        <v>226.10000000000002</v>
      </c>
      <c r="AG107" s="3">
        <f t="shared" si="16"/>
        <v>0.18337388483373887</v>
      </c>
      <c r="AH107" t="str">
        <f t="shared" si="17"/>
        <v>June</v>
      </c>
      <c r="AI107">
        <f t="shared" si="18"/>
        <v>2024</v>
      </c>
    </row>
    <row r="108" spans="1:35">
      <c r="A108" t="s">
        <v>444</v>
      </c>
      <c r="B108" s="2">
        <v>45342</v>
      </c>
      <c r="C108" s="2">
        <v>45350</v>
      </c>
      <c r="D108" t="s">
        <v>445</v>
      </c>
      <c r="E108" t="s">
        <v>67</v>
      </c>
      <c r="F108" t="s">
        <v>109</v>
      </c>
      <c r="G108" t="s">
        <v>52</v>
      </c>
      <c r="H108" t="s">
        <v>113</v>
      </c>
      <c r="I108" t="s">
        <v>114</v>
      </c>
      <c r="J108" t="s">
        <v>42</v>
      </c>
      <c r="K108" t="s">
        <v>43</v>
      </c>
      <c r="L108" t="s">
        <v>446</v>
      </c>
      <c r="M108" t="s">
        <v>73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46</v>
      </c>
      <c r="U108" t="s">
        <v>82</v>
      </c>
      <c r="V108" t="str">
        <f t="shared" si="9"/>
        <v>Valid</v>
      </c>
      <c r="W108">
        <f t="shared" si="10"/>
        <v>8</v>
      </c>
      <c r="Y108" t="str">
        <f t="shared" si="11"/>
        <v>OK</v>
      </c>
      <c r="Z108" t="str">
        <f t="shared" si="12"/>
        <v>OK</v>
      </c>
      <c r="AA108" t="str">
        <f t="shared" si="13"/>
        <v>Missing Discount</v>
      </c>
      <c r="AB108" t="str">
        <f t="shared" si="14"/>
        <v>Valid</v>
      </c>
      <c r="AC108" t="str">
        <f>IF(OR(AB108="Invalid Discount",V108="Invalid Shipping"),
"Invalid",
IF(OR(Y108="Missing Region",
Z108="Missing Ship Mode",
AA108="Missing Discount",
X108="Flagged for Review"),
"Warning",
"Clean"))</f>
        <v>Warning</v>
      </c>
      <c r="AD108">
        <f t="shared" si="15"/>
        <v>0</v>
      </c>
      <c r="AE108">
        <f>N108*O108*(1-AD108)</f>
        <v>8008.08</v>
      </c>
      <c r="AF108">
        <f>AE108-R108</f>
        <v>2298.6899999999996</v>
      </c>
      <c r="AG108" s="3">
        <f t="shared" si="16"/>
        <v>0.28704633320346445</v>
      </c>
      <c r="AH108" t="str">
        <f t="shared" si="17"/>
        <v>February</v>
      </c>
      <c r="AI108">
        <f t="shared" si="18"/>
        <v>2024</v>
      </c>
    </row>
    <row r="109" spans="1:35">
      <c r="A109" t="s">
        <v>447</v>
      </c>
      <c r="B109" s="2">
        <v>45594</v>
      </c>
      <c r="C109" s="2">
        <v>45600</v>
      </c>
      <c r="D109" t="s">
        <v>448</v>
      </c>
      <c r="E109" t="s">
        <v>155</v>
      </c>
      <c r="F109" t="s">
        <v>109</v>
      </c>
      <c r="G109" t="s">
        <v>52</v>
      </c>
      <c r="H109" t="s">
        <v>113</v>
      </c>
      <c r="I109" t="s">
        <v>114</v>
      </c>
      <c r="J109" t="s">
        <v>55</v>
      </c>
      <c r="K109" t="s">
        <v>71</v>
      </c>
      <c r="L109" t="s">
        <v>449</v>
      </c>
      <c r="M109" t="s">
        <v>64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46</v>
      </c>
      <c r="U109" t="s">
        <v>47</v>
      </c>
      <c r="V109" t="str">
        <f t="shared" si="9"/>
        <v>Valid</v>
      </c>
      <c r="W109">
        <f t="shared" si="10"/>
        <v>6</v>
      </c>
      <c r="Y109" t="str">
        <f t="shared" si="11"/>
        <v>OK</v>
      </c>
      <c r="Z109" t="str">
        <f t="shared" si="12"/>
        <v>OK</v>
      </c>
      <c r="AA109" t="str">
        <f t="shared" si="13"/>
        <v>OK</v>
      </c>
      <c r="AB109" t="str">
        <f t="shared" si="14"/>
        <v>Valid</v>
      </c>
      <c r="AC109" t="str">
        <f>IF(OR(AB109="Invalid Discount",V109="Invalid Shipping"),
"Invalid",
IF(OR(Y109="Missing Region",
Z109="Missing Ship Mode",
AA109="Missing Discount",
X109="Flagged for Review"),
"Warning",
"Clean"))</f>
        <v>Clean</v>
      </c>
      <c r="AD109">
        <f t="shared" si="15"/>
        <v>0.05</v>
      </c>
      <c r="AE109">
        <f>N109*O109*(1-AD109)</f>
        <v>12263.236500000001</v>
      </c>
      <c r="AF109">
        <f>AE109-R109</f>
        <v>3337.6665000000012</v>
      </c>
      <c r="AG109" s="3">
        <f t="shared" si="16"/>
        <v>0.27216848504878799</v>
      </c>
      <c r="AH109" t="str">
        <f t="shared" si="17"/>
        <v>October</v>
      </c>
      <c r="AI109">
        <f t="shared" si="18"/>
        <v>2024</v>
      </c>
    </row>
    <row r="110" spans="1:35">
      <c r="A110" t="s">
        <v>450</v>
      </c>
      <c r="B110" s="2">
        <v>45519</v>
      </c>
      <c r="C110" s="2">
        <v>45527</v>
      </c>
      <c r="D110" t="s">
        <v>451</v>
      </c>
      <c r="E110" t="s">
        <v>103</v>
      </c>
      <c r="F110" t="s">
        <v>51</v>
      </c>
      <c r="G110" t="s">
        <v>52</v>
      </c>
      <c r="H110" t="s">
        <v>53</v>
      </c>
      <c r="I110" t="s">
        <v>54</v>
      </c>
      <c r="J110" t="s">
        <v>55</v>
      </c>
      <c r="K110" t="s">
        <v>172</v>
      </c>
      <c r="L110" t="s">
        <v>452</v>
      </c>
      <c r="M110" t="s">
        <v>58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46</v>
      </c>
      <c r="U110" t="s">
        <v>47</v>
      </c>
      <c r="V110" t="str">
        <f t="shared" si="9"/>
        <v>Valid</v>
      </c>
      <c r="W110">
        <f t="shared" si="10"/>
        <v>8</v>
      </c>
      <c r="Y110" t="str">
        <f t="shared" si="11"/>
        <v>OK</v>
      </c>
      <c r="Z110" t="str">
        <f t="shared" si="12"/>
        <v>OK</v>
      </c>
      <c r="AA110" t="str">
        <f t="shared" si="13"/>
        <v>OK</v>
      </c>
      <c r="AB110" t="str">
        <f t="shared" si="14"/>
        <v>Valid</v>
      </c>
      <c r="AC110" t="str">
        <f>IF(OR(AB110="Invalid Discount",V110="Invalid Shipping"),
"Invalid",
IF(OR(Y110="Missing Region",
Z110="Missing Ship Mode",
AA110="Missing Discount",
X110="Flagged for Review"),
"Warning",
"Clean"))</f>
        <v>Clean</v>
      </c>
      <c r="AD110">
        <f t="shared" si="15"/>
        <v>0.25</v>
      </c>
      <c r="AE110">
        <f>N110*O110*(1-AD110)</f>
        <v>806.31</v>
      </c>
      <c r="AF110">
        <f>AE110-R110</f>
        <v>307.80999999999995</v>
      </c>
      <c r="AG110" s="3">
        <f t="shared" si="16"/>
        <v>0.38175143555208291</v>
      </c>
      <c r="AH110" t="str">
        <f t="shared" si="17"/>
        <v>August</v>
      </c>
      <c r="AI110">
        <f t="shared" si="18"/>
        <v>2024</v>
      </c>
    </row>
    <row r="111" spans="1:35">
      <c r="A111" t="s">
        <v>453</v>
      </c>
      <c r="B111" s="2">
        <v>45892</v>
      </c>
      <c r="C111" s="2">
        <v>45896</v>
      </c>
      <c r="D111" t="s">
        <v>454</v>
      </c>
      <c r="E111" t="s">
        <v>146</v>
      </c>
      <c r="F111" t="s">
        <v>38</v>
      </c>
      <c r="G111" t="s">
        <v>39</v>
      </c>
      <c r="H111" t="s">
        <v>365</v>
      </c>
      <c r="I111" t="s">
        <v>366</v>
      </c>
      <c r="J111" t="s">
        <v>42</v>
      </c>
      <c r="K111" t="s">
        <v>167</v>
      </c>
      <c r="L111" t="s">
        <v>455</v>
      </c>
      <c r="M111" t="s">
        <v>45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46</v>
      </c>
      <c r="U111" t="s">
        <v>47</v>
      </c>
      <c r="V111" t="str">
        <f t="shared" si="9"/>
        <v>Valid</v>
      </c>
      <c r="W111">
        <f t="shared" si="10"/>
        <v>4</v>
      </c>
      <c r="Y111" t="str">
        <f t="shared" si="11"/>
        <v>OK</v>
      </c>
      <c r="Z111" t="str">
        <f t="shared" si="12"/>
        <v>OK</v>
      </c>
      <c r="AA111" t="str">
        <f t="shared" si="13"/>
        <v>OK</v>
      </c>
      <c r="AB111" t="str">
        <f t="shared" si="14"/>
        <v>Valid</v>
      </c>
      <c r="AC111" t="str">
        <f>IF(OR(AB111="Invalid Discount",V111="Invalid Shipping"),
"Invalid",
IF(OR(Y111="Missing Region",
Z111="Missing Ship Mode",
AA111="Missing Discount",
X111="Flagged for Review"),
"Warning",
"Clean"))</f>
        <v>Clean</v>
      </c>
      <c r="AD111">
        <f t="shared" si="15"/>
        <v>0.25</v>
      </c>
      <c r="AE111">
        <f>N111*O111*(1-AD111)</f>
        <v>2091.4650000000001</v>
      </c>
      <c r="AF111">
        <f>AE111-R111</f>
        <v>774.24500000000012</v>
      </c>
      <c r="AG111" s="3">
        <f t="shared" si="16"/>
        <v>0.37019266399389905</v>
      </c>
      <c r="AH111" t="str">
        <f t="shared" si="17"/>
        <v>August</v>
      </c>
      <c r="AI111">
        <f t="shared" si="18"/>
        <v>2025</v>
      </c>
    </row>
    <row r="112" spans="1:35">
      <c r="A112" t="s">
        <v>456</v>
      </c>
      <c r="B112" s="2">
        <v>45583</v>
      </c>
      <c r="C112" s="2">
        <v>45589</v>
      </c>
      <c r="D112" t="s">
        <v>457</v>
      </c>
      <c r="E112" t="s">
        <v>85</v>
      </c>
      <c r="F112" t="s">
        <v>104</v>
      </c>
      <c r="G112" t="s">
        <v>68</v>
      </c>
      <c r="H112" t="s">
        <v>199</v>
      </c>
      <c r="I112" t="s">
        <v>200</v>
      </c>
      <c r="J112" t="s">
        <v>42</v>
      </c>
      <c r="K112" t="s">
        <v>105</v>
      </c>
      <c r="L112" t="s">
        <v>458</v>
      </c>
      <c r="M112" t="s">
        <v>64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116</v>
      </c>
      <c r="U112" t="s">
        <v>82</v>
      </c>
      <c r="V112" t="str">
        <f t="shared" si="9"/>
        <v>Valid</v>
      </c>
      <c r="W112">
        <f t="shared" si="10"/>
        <v>6</v>
      </c>
      <c r="Y112" t="str">
        <f t="shared" si="11"/>
        <v>OK</v>
      </c>
      <c r="Z112" t="str">
        <f t="shared" si="12"/>
        <v>OK</v>
      </c>
      <c r="AA112" t="str">
        <f t="shared" si="13"/>
        <v>OK</v>
      </c>
      <c r="AB112" t="str">
        <f t="shared" si="14"/>
        <v>Valid</v>
      </c>
      <c r="AC112" t="str">
        <f>IF(OR(AB112="Invalid Discount",V112="Invalid Shipping"),
"Invalid",
IF(OR(Y112="Missing Region",
Z112="Missing Ship Mode",
AA112="Missing Discount",
X112="Flagged for Review"),
"Warning",
"Clean"))</f>
        <v>Clean</v>
      </c>
      <c r="AD112">
        <f t="shared" si="15"/>
        <v>0</v>
      </c>
      <c r="AE112">
        <f>N112*O112*(1-AD112)</f>
        <v>4500.9399999999996</v>
      </c>
      <c r="AF112">
        <f>AE112-R112</f>
        <v>1893.2099999999996</v>
      </c>
      <c r="AG112" s="3">
        <f t="shared" si="16"/>
        <v>0.42062546934640316</v>
      </c>
      <c r="AH112" t="str">
        <f t="shared" si="17"/>
        <v>October</v>
      </c>
      <c r="AI112">
        <f t="shared" si="18"/>
        <v>2024</v>
      </c>
    </row>
    <row r="113" spans="1:35">
      <c r="A113" t="s">
        <v>459</v>
      </c>
      <c r="B113" s="2">
        <v>45835</v>
      </c>
      <c r="C113" s="2">
        <v>45838</v>
      </c>
      <c r="D113" t="s">
        <v>460</v>
      </c>
      <c r="E113" t="s">
        <v>93</v>
      </c>
      <c r="F113" t="s">
        <v>104</v>
      </c>
      <c r="G113" t="s">
        <v>52</v>
      </c>
      <c r="H113" t="s">
        <v>159</v>
      </c>
      <c r="I113" t="s">
        <v>160</v>
      </c>
      <c r="J113" t="s">
        <v>88</v>
      </c>
      <c r="K113" t="s">
        <v>89</v>
      </c>
      <c r="L113" t="s">
        <v>461</v>
      </c>
      <c r="M113" t="s">
        <v>64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125</v>
      </c>
      <c r="U113" t="s">
        <v>82</v>
      </c>
      <c r="V113" t="str">
        <f t="shared" si="9"/>
        <v>Valid</v>
      </c>
      <c r="W113">
        <f t="shared" si="10"/>
        <v>3</v>
      </c>
      <c r="Y113" t="str">
        <f t="shared" si="11"/>
        <v>OK</v>
      </c>
      <c r="Z113" t="str">
        <f t="shared" si="12"/>
        <v>OK</v>
      </c>
      <c r="AA113" t="str">
        <f t="shared" si="13"/>
        <v>OK</v>
      </c>
      <c r="AB113" t="str">
        <f t="shared" si="14"/>
        <v>Valid</v>
      </c>
      <c r="AC113" t="str">
        <f>IF(OR(AB113="Invalid Discount",V113="Invalid Shipping"),
"Invalid",
IF(OR(Y113="Missing Region",
Z113="Missing Ship Mode",
AA113="Missing Discount",
X113="Flagged for Review"),
"Warning",
"Clean"))</f>
        <v>Clean</v>
      </c>
      <c r="AD113">
        <f t="shared" si="15"/>
        <v>0.05</v>
      </c>
      <c r="AE113">
        <f>N113*O113*(1-AD113)</f>
        <v>1623.018</v>
      </c>
      <c r="AF113">
        <f>AE113-R113</f>
        <v>545.55799999999999</v>
      </c>
      <c r="AG113" s="3">
        <f t="shared" si="16"/>
        <v>0.3361379849145234</v>
      </c>
      <c r="AH113" t="str">
        <f t="shared" si="17"/>
        <v>June</v>
      </c>
      <c r="AI113">
        <f t="shared" si="18"/>
        <v>2025</v>
      </c>
    </row>
    <row r="114" spans="1:35">
      <c r="A114" t="s">
        <v>462</v>
      </c>
      <c r="B114" s="2">
        <v>45301</v>
      </c>
      <c r="C114" s="2">
        <v>45305</v>
      </c>
      <c r="D114" t="s">
        <v>463</v>
      </c>
      <c r="E114" t="s">
        <v>146</v>
      </c>
      <c r="F114" t="s">
        <v>38</v>
      </c>
      <c r="G114" t="s">
        <v>219</v>
      </c>
      <c r="H114" t="s">
        <v>194</v>
      </c>
      <c r="I114" t="s">
        <v>195</v>
      </c>
      <c r="J114" t="s">
        <v>88</v>
      </c>
      <c r="K114" t="s">
        <v>89</v>
      </c>
      <c r="L114" t="s">
        <v>464</v>
      </c>
      <c r="M114" t="s">
        <v>73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46</v>
      </c>
      <c r="U114" t="s">
        <v>47</v>
      </c>
      <c r="V114" t="str">
        <f t="shared" si="9"/>
        <v>Valid</v>
      </c>
      <c r="W114">
        <f t="shared" si="10"/>
        <v>4</v>
      </c>
      <c r="Y114" t="str">
        <f t="shared" si="11"/>
        <v>Missing Region</v>
      </c>
      <c r="Z114" t="str">
        <f t="shared" si="12"/>
        <v>OK</v>
      </c>
      <c r="AA114" t="str">
        <f t="shared" si="13"/>
        <v>OK</v>
      </c>
      <c r="AB114" t="str">
        <f t="shared" si="14"/>
        <v>Valid</v>
      </c>
      <c r="AC114" t="str">
        <f>IF(OR(AB114="Invalid Discount",V114="Invalid Shipping"),
"Invalid",
IF(OR(Y114="Missing Region",
Z114="Missing Ship Mode",
AA114="Missing Discount",
X114="Flagged for Review"),
"Warning",
"Clean"))</f>
        <v>Warning</v>
      </c>
      <c r="AD114">
        <f t="shared" si="15"/>
        <v>0.05</v>
      </c>
      <c r="AE114">
        <f>N114*O114*(1-AD114)</f>
        <v>10914.018</v>
      </c>
      <c r="AF114">
        <f>AE114-R114</f>
        <v>4365.2780000000002</v>
      </c>
      <c r="AG114" s="3">
        <f t="shared" si="16"/>
        <v>0.39996983695647198</v>
      </c>
      <c r="AH114" t="str">
        <f t="shared" si="17"/>
        <v>January</v>
      </c>
      <c r="AI114">
        <f t="shared" si="18"/>
        <v>2024</v>
      </c>
    </row>
    <row r="115" spans="1:35">
      <c r="A115" t="s">
        <v>465</v>
      </c>
      <c r="B115" s="2">
        <v>45334</v>
      </c>
      <c r="C115" s="2">
        <v>45334</v>
      </c>
      <c r="D115" t="s">
        <v>375</v>
      </c>
      <c r="E115" t="s">
        <v>61</v>
      </c>
      <c r="F115" t="s">
        <v>109</v>
      </c>
      <c r="G115" t="s">
        <v>68</v>
      </c>
      <c r="H115" t="s">
        <v>262</v>
      </c>
      <c r="I115" t="s">
        <v>263</v>
      </c>
      <c r="J115" t="s">
        <v>55</v>
      </c>
      <c r="K115" t="s">
        <v>56</v>
      </c>
      <c r="L115" t="s">
        <v>466</v>
      </c>
      <c r="M115" t="s">
        <v>73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46</v>
      </c>
      <c r="U115" t="s">
        <v>47</v>
      </c>
      <c r="V115" t="str">
        <f t="shared" si="9"/>
        <v>Valid</v>
      </c>
      <c r="W115">
        <f t="shared" si="10"/>
        <v>0</v>
      </c>
      <c r="Y115" t="str">
        <f t="shared" si="11"/>
        <v>OK</v>
      </c>
      <c r="Z115" t="str">
        <f t="shared" si="12"/>
        <v>OK</v>
      </c>
      <c r="AA115" t="str">
        <f t="shared" si="13"/>
        <v>OK</v>
      </c>
      <c r="AB115" t="str">
        <f t="shared" si="14"/>
        <v>Valid</v>
      </c>
      <c r="AC115" t="str">
        <f>IF(OR(AB115="Invalid Discount",V115="Invalid Shipping"),
"Invalid",
IF(OR(Y115="Missing Region",
Z115="Missing Ship Mode",
AA115="Missing Discount",
X115="Flagged for Review"),
"Warning",
"Clean"))</f>
        <v>Clean</v>
      </c>
      <c r="AD115">
        <f t="shared" si="15"/>
        <v>0.25</v>
      </c>
      <c r="AE115">
        <f>N115*O115*(1-AD115)</f>
        <v>2450.5875000000001</v>
      </c>
      <c r="AF115">
        <f>AE115-R115</f>
        <v>810.69749999999999</v>
      </c>
      <c r="AG115" s="3">
        <f t="shared" si="16"/>
        <v>0.33081761006289306</v>
      </c>
      <c r="AH115" t="str">
        <f t="shared" si="17"/>
        <v>February</v>
      </c>
      <c r="AI115">
        <f t="shared" si="18"/>
        <v>2024</v>
      </c>
    </row>
    <row r="116" spans="1:35">
      <c r="A116" t="s">
        <v>467</v>
      </c>
      <c r="B116" s="2">
        <v>45560</v>
      </c>
      <c r="C116" s="2">
        <v>45565</v>
      </c>
      <c r="D116" t="s">
        <v>468</v>
      </c>
      <c r="E116" t="s">
        <v>93</v>
      </c>
      <c r="F116" t="s">
        <v>51</v>
      </c>
      <c r="G116" t="s">
        <v>39</v>
      </c>
      <c r="H116" t="s">
        <v>40</v>
      </c>
      <c r="I116" t="s">
        <v>41</v>
      </c>
      <c r="J116" t="s">
        <v>88</v>
      </c>
      <c r="K116" t="s">
        <v>89</v>
      </c>
      <c r="L116" t="s">
        <v>469</v>
      </c>
      <c r="M116" t="s">
        <v>45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125</v>
      </c>
      <c r="U116" t="s">
        <v>82</v>
      </c>
      <c r="V116" t="str">
        <f t="shared" si="9"/>
        <v>Valid</v>
      </c>
      <c r="W116">
        <f t="shared" si="10"/>
        <v>5</v>
      </c>
      <c r="Y116" t="str">
        <f t="shared" si="11"/>
        <v>OK</v>
      </c>
      <c r="Z116" t="str">
        <f t="shared" si="12"/>
        <v>OK</v>
      </c>
      <c r="AA116" t="str">
        <f t="shared" si="13"/>
        <v>OK</v>
      </c>
      <c r="AB116" t="str">
        <f t="shared" si="14"/>
        <v>Valid</v>
      </c>
      <c r="AC116" t="str">
        <f>IF(OR(AB116="Invalid Discount",V116="Invalid Shipping"),
"Invalid",
IF(OR(Y116="Missing Region",
Z116="Missing Ship Mode",
AA116="Missing Discount",
X116="Flagged for Review"),
"Warning",
"Clean"))</f>
        <v>Clean</v>
      </c>
      <c r="AD116">
        <f t="shared" si="15"/>
        <v>0.1</v>
      </c>
      <c r="AE116">
        <f>N116*O116*(1-AD116)</f>
        <v>3949.56</v>
      </c>
      <c r="AF116">
        <f>AE116-R116</f>
        <v>762.82999999999993</v>
      </c>
      <c r="AG116" s="3">
        <f t="shared" si="16"/>
        <v>0.19314303365438173</v>
      </c>
      <c r="AH116" t="str">
        <f t="shared" si="17"/>
        <v>September</v>
      </c>
      <c r="AI116">
        <f t="shared" si="18"/>
        <v>2024</v>
      </c>
    </row>
    <row r="117" spans="1:35">
      <c r="A117" t="s">
        <v>470</v>
      </c>
      <c r="B117" s="2">
        <v>45653</v>
      </c>
      <c r="C117" s="2">
        <v>45658</v>
      </c>
      <c r="D117" t="s">
        <v>471</v>
      </c>
      <c r="E117" t="s">
        <v>279</v>
      </c>
      <c r="F117" t="s">
        <v>104</v>
      </c>
      <c r="G117" t="s">
        <v>68</v>
      </c>
      <c r="H117" t="s">
        <v>262</v>
      </c>
      <c r="I117" t="s">
        <v>263</v>
      </c>
      <c r="J117" t="s">
        <v>42</v>
      </c>
      <c r="K117" t="s">
        <v>167</v>
      </c>
      <c r="L117" t="s">
        <v>472</v>
      </c>
      <c r="M117" t="s">
        <v>58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46</v>
      </c>
      <c r="U117" t="s">
        <v>82</v>
      </c>
      <c r="V117" t="str">
        <f t="shared" si="9"/>
        <v>Valid</v>
      </c>
      <c r="W117">
        <f t="shared" si="10"/>
        <v>5</v>
      </c>
      <c r="Y117" t="str">
        <f t="shared" si="11"/>
        <v>OK</v>
      </c>
      <c r="Z117" t="str">
        <f t="shared" si="12"/>
        <v>OK</v>
      </c>
      <c r="AA117" t="str">
        <f t="shared" si="13"/>
        <v>OK</v>
      </c>
      <c r="AB117" t="str">
        <f t="shared" si="14"/>
        <v>Valid</v>
      </c>
      <c r="AC117" t="str">
        <f>IF(OR(AB117="Invalid Discount",V117="Invalid Shipping"),
"Invalid",
IF(OR(Y117="Missing Region",
Z117="Missing Ship Mode",
AA117="Missing Discount",
X117="Flagged for Review"),
"Warning",
"Clean"))</f>
        <v>Clean</v>
      </c>
      <c r="AD117">
        <f t="shared" si="15"/>
        <v>0.15</v>
      </c>
      <c r="AE117">
        <f>N117*O117*(1-AD117)</f>
        <v>758.77799999999991</v>
      </c>
      <c r="AF117">
        <f>AE117-R117</f>
        <v>268.0379999999999</v>
      </c>
      <c r="AG117" s="3">
        <f t="shared" si="16"/>
        <v>0.35324956706704719</v>
      </c>
      <c r="AH117" t="str">
        <f t="shared" si="17"/>
        <v>December</v>
      </c>
      <c r="AI117">
        <f t="shared" si="18"/>
        <v>2024</v>
      </c>
    </row>
    <row r="118" spans="1:35">
      <c r="A118" t="s">
        <v>473</v>
      </c>
      <c r="B118" s="2">
        <v>45703</v>
      </c>
      <c r="C118" s="2">
        <v>45707</v>
      </c>
      <c r="D118" t="s">
        <v>474</v>
      </c>
      <c r="E118" t="s">
        <v>76</v>
      </c>
      <c r="F118" t="s">
        <v>51</v>
      </c>
      <c r="G118" t="s">
        <v>219</v>
      </c>
      <c r="H118" t="s">
        <v>86</v>
      </c>
      <c r="I118" t="s">
        <v>87</v>
      </c>
      <c r="J118" t="s">
        <v>42</v>
      </c>
      <c r="K118" t="s">
        <v>167</v>
      </c>
      <c r="L118" t="s">
        <v>475</v>
      </c>
      <c r="M118" t="s">
        <v>64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169</v>
      </c>
      <c r="U118" t="s">
        <v>82</v>
      </c>
      <c r="V118" t="str">
        <f t="shared" si="9"/>
        <v>Valid</v>
      </c>
      <c r="W118">
        <f t="shared" si="10"/>
        <v>4</v>
      </c>
      <c r="Y118" t="str">
        <f t="shared" si="11"/>
        <v>Missing Region</v>
      </c>
      <c r="Z118" t="str">
        <f t="shared" si="12"/>
        <v>OK</v>
      </c>
      <c r="AA118" t="str">
        <f t="shared" si="13"/>
        <v>OK</v>
      </c>
      <c r="AB118" t="str">
        <f t="shared" si="14"/>
        <v>Valid</v>
      </c>
      <c r="AC118" t="str">
        <f>IF(OR(AB118="Invalid Discount",V118="Invalid Shipping"),
"Invalid",
IF(OR(Y118="Missing Region",
Z118="Missing Ship Mode",
AA118="Missing Discount",
X118="Flagged for Review"),
"Warning",
"Clean"))</f>
        <v>Warning</v>
      </c>
      <c r="AD118">
        <f t="shared" si="15"/>
        <v>0.25</v>
      </c>
      <c r="AE118">
        <f>N118*O118*(1-AD118)</f>
        <v>3590.9324999999999</v>
      </c>
      <c r="AF118">
        <f>AE118-R118</f>
        <v>529.54250000000002</v>
      </c>
      <c r="AG118" s="3">
        <f t="shared" si="16"/>
        <v>0.14746657031286442</v>
      </c>
      <c r="AH118" t="str">
        <f t="shared" si="17"/>
        <v>February</v>
      </c>
      <c r="AI118">
        <f t="shared" si="18"/>
        <v>2025</v>
      </c>
    </row>
    <row r="119" spans="1:35">
      <c r="A119" t="s">
        <v>476</v>
      </c>
      <c r="B119" s="2">
        <v>45337</v>
      </c>
      <c r="C119" s="2">
        <v>45339</v>
      </c>
      <c r="D119" t="s">
        <v>477</v>
      </c>
      <c r="E119" t="s">
        <v>50</v>
      </c>
      <c r="F119" t="s">
        <v>109</v>
      </c>
      <c r="G119" t="s">
        <v>68</v>
      </c>
      <c r="H119" t="s">
        <v>262</v>
      </c>
      <c r="I119" t="s">
        <v>263</v>
      </c>
      <c r="J119" t="s">
        <v>88</v>
      </c>
      <c r="K119" t="s">
        <v>289</v>
      </c>
      <c r="L119" t="s">
        <v>478</v>
      </c>
      <c r="M119" t="s">
        <v>73</v>
      </c>
      <c r="N119">
        <v>9</v>
      </c>
      <c r="O119">
        <v>3324.55</v>
      </c>
      <c r="P119">
        <v>0.7</v>
      </c>
      <c r="Q119">
        <v>25432.81</v>
      </c>
      <c r="R119">
        <v>20370.16</v>
      </c>
      <c r="S119">
        <v>5062.6499999999996</v>
      </c>
      <c r="T119" t="s">
        <v>46</v>
      </c>
      <c r="U119" t="s">
        <v>47</v>
      </c>
      <c r="V119" t="str">
        <f t="shared" si="9"/>
        <v>Valid</v>
      </c>
      <c r="W119">
        <f t="shared" si="10"/>
        <v>2</v>
      </c>
      <c r="Y119" t="str">
        <f t="shared" si="11"/>
        <v>OK</v>
      </c>
      <c r="Z119" t="str">
        <f t="shared" si="12"/>
        <v>OK</v>
      </c>
      <c r="AA119" t="str">
        <f t="shared" si="13"/>
        <v>OK</v>
      </c>
      <c r="AB119" t="str">
        <f t="shared" si="14"/>
        <v>Valid</v>
      </c>
      <c r="AC119" t="str">
        <f>IF(OR(AB119="Invalid Discount",V119="Invalid Shipping"),
"Invalid",
IF(OR(Y119="Missing Region",
Z119="Missing Ship Mode",
AA119="Missing Discount",
X119="Flagged for Review"),
"Warning",
"Clean"))</f>
        <v>Clean</v>
      </c>
      <c r="AD119">
        <v>0.7</v>
      </c>
      <c r="AE119">
        <f>N119*O119*(1-AD119)</f>
        <v>8976.2850000000017</v>
      </c>
      <c r="AF119">
        <f>AE119-R119</f>
        <v>-11393.874999999998</v>
      </c>
      <c r="AG119" s="3">
        <f t="shared" si="16"/>
        <v>-1.2693307977632167</v>
      </c>
      <c r="AH119" t="str">
        <f t="shared" si="17"/>
        <v>February</v>
      </c>
      <c r="AI119">
        <f t="shared" si="18"/>
        <v>2024</v>
      </c>
    </row>
    <row r="120" spans="1:35">
      <c r="A120" t="s">
        <v>479</v>
      </c>
      <c r="B120" s="2">
        <v>45453</v>
      </c>
      <c r="C120" s="2">
        <v>45461</v>
      </c>
      <c r="D120" t="s">
        <v>480</v>
      </c>
      <c r="E120" t="s">
        <v>85</v>
      </c>
      <c r="F120" t="s">
        <v>109</v>
      </c>
      <c r="G120" t="s">
        <v>68</v>
      </c>
      <c r="H120" t="s">
        <v>98</v>
      </c>
      <c r="I120" t="s">
        <v>99</v>
      </c>
      <c r="J120" t="s">
        <v>88</v>
      </c>
      <c r="K120" t="s">
        <v>94</v>
      </c>
      <c r="L120" t="s">
        <v>481</v>
      </c>
      <c r="M120" t="s">
        <v>58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46</v>
      </c>
      <c r="U120" t="s">
        <v>47</v>
      </c>
      <c r="V120" t="str">
        <f t="shared" si="9"/>
        <v>Valid</v>
      </c>
      <c r="W120">
        <f t="shared" si="10"/>
        <v>8</v>
      </c>
      <c r="Y120" t="str">
        <f t="shared" si="11"/>
        <v>OK</v>
      </c>
      <c r="Z120" t="str">
        <f t="shared" si="12"/>
        <v>OK</v>
      </c>
      <c r="AA120" t="str">
        <f t="shared" si="13"/>
        <v>OK</v>
      </c>
      <c r="AB120" t="str">
        <f t="shared" si="14"/>
        <v>Valid</v>
      </c>
      <c r="AC120" t="str">
        <f>IF(OR(AB120="Invalid Discount",V120="Invalid Shipping"),
"Invalid",
IF(OR(Y120="Missing Region",
Z120="Missing Ship Mode",
AA120="Missing Discount",
X120="Flagged for Review"),
"Warning",
"Clean"))</f>
        <v>Clean</v>
      </c>
      <c r="AD120">
        <f t="shared" si="15"/>
        <v>0.2</v>
      </c>
      <c r="AE120">
        <f>N120*O120*(1-AD120)</f>
        <v>6321.0800000000008</v>
      </c>
      <c r="AF120">
        <f>AE120-R120</f>
        <v>1913.8600000000006</v>
      </c>
      <c r="AG120" s="3">
        <f t="shared" si="16"/>
        <v>0.30277420947053357</v>
      </c>
      <c r="AH120" t="str">
        <f t="shared" si="17"/>
        <v>June</v>
      </c>
      <c r="AI120">
        <f t="shared" si="18"/>
        <v>2024</v>
      </c>
    </row>
    <row r="121" spans="1:35">
      <c r="A121" t="s">
        <v>482</v>
      </c>
      <c r="B121" s="2">
        <v>45455</v>
      </c>
      <c r="C121" s="2">
        <v>45462</v>
      </c>
      <c r="D121" t="s">
        <v>483</v>
      </c>
      <c r="E121" t="s">
        <v>103</v>
      </c>
      <c r="F121" t="s">
        <v>51</v>
      </c>
      <c r="G121" t="s">
        <v>68</v>
      </c>
      <c r="H121" t="s">
        <v>199</v>
      </c>
      <c r="I121" t="s">
        <v>200</v>
      </c>
      <c r="J121" t="s">
        <v>55</v>
      </c>
      <c r="K121" t="s">
        <v>80</v>
      </c>
      <c r="L121" t="s">
        <v>484</v>
      </c>
      <c r="M121" t="s">
        <v>73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116</v>
      </c>
      <c r="U121" t="s">
        <v>117</v>
      </c>
      <c r="V121" t="str">
        <f t="shared" si="9"/>
        <v>Valid</v>
      </c>
      <c r="W121">
        <f t="shared" si="10"/>
        <v>7</v>
      </c>
      <c r="Y121" t="str">
        <f t="shared" si="11"/>
        <v>OK</v>
      </c>
      <c r="Z121" t="str">
        <f t="shared" si="12"/>
        <v>OK</v>
      </c>
      <c r="AA121" t="str">
        <f t="shared" si="13"/>
        <v>OK</v>
      </c>
      <c r="AB121" t="str">
        <f t="shared" si="14"/>
        <v>Valid</v>
      </c>
      <c r="AC121" t="str">
        <f>IF(OR(AB121="Invalid Discount",V121="Invalid Shipping"),
"Invalid",
IF(OR(Y121="Missing Region",
Z121="Missing Ship Mode",
AA121="Missing Discount",
X121="Flagged for Review"),
"Warning",
"Clean"))</f>
        <v>Clean</v>
      </c>
      <c r="AD121">
        <f t="shared" si="15"/>
        <v>0.25</v>
      </c>
      <c r="AE121">
        <f>N121*O121*(1-AD121)</f>
        <v>1884.3000000000002</v>
      </c>
      <c r="AF121">
        <f>AE121-R121</f>
        <v>366.61000000000013</v>
      </c>
      <c r="AG121" s="3">
        <f t="shared" si="16"/>
        <v>0.19456031417502526</v>
      </c>
      <c r="AH121" t="str">
        <f t="shared" si="17"/>
        <v>June</v>
      </c>
      <c r="AI121">
        <f t="shared" si="18"/>
        <v>2024</v>
      </c>
    </row>
    <row r="122" spans="1:35">
      <c r="A122" t="s">
        <v>485</v>
      </c>
      <c r="B122" s="2">
        <v>45514</v>
      </c>
      <c r="C122" s="2">
        <v>45522</v>
      </c>
      <c r="D122" t="s">
        <v>486</v>
      </c>
      <c r="E122" t="s">
        <v>146</v>
      </c>
      <c r="F122" t="s">
        <v>51</v>
      </c>
      <c r="G122" t="s">
        <v>52</v>
      </c>
      <c r="H122" t="s">
        <v>159</v>
      </c>
      <c r="I122" t="s">
        <v>160</v>
      </c>
      <c r="J122" t="s">
        <v>88</v>
      </c>
      <c r="K122" t="s">
        <v>185</v>
      </c>
      <c r="L122" t="s">
        <v>487</v>
      </c>
      <c r="M122" t="s">
        <v>73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46</v>
      </c>
      <c r="U122" t="s">
        <v>117</v>
      </c>
      <c r="V122" t="str">
        <f t="shared" si="9"/>
        <v>Valid</v>
      </c>
      <c r="W122">
        <f t="shared" si="10"/>
        <v>8</v>
      </c>
      <c r="Y122" t="str">
        <f t="shared" si="11"/>
        <v>OK</v>
      </c>
      <c r="Z122" t="str">
        <f t="shared" si="12"/>
        <v>OK</v>
      </c>
      <c r="AA122" t="str">
        <f t="shared" si="13"/>
        <v>OK</v>
      </c>
      <c r="AB122" t="str">
        <f t="shared" si="14"/>
        <v>Valid</v>
      </c>
      <c r="AC122" t="str">
        <f>IF(OR(AB122="Invalid Discount",V122="Invalid Shipping"),
"Invalid",
IF(OR(Y122="Missing Region",
Z122="Missing Ship Mode",
AA122="Missing Discount",
X122="Flagged for Review"),
"Warning",
"Clean"))</f>
        <v>Clean</v>
      </c>
      <c r="AD122">
        <f t="shared" si="15"/>
        <v>0.2</v>
      </c>
      <c r="AE122">
        <f>N122*O122*(1-AD122)</f>
        <v>1458.9360000000001</v>
      </c>
      <c r="AF122">
        <f>AE122-R122</f>
        <v>565.7360000000001</v>
      </c>
      <c r="AG122" s="3">
        <f t="shared" si="16"/>
        <v>0.38777300717783375</v>
      </c>
      <c r="AH122" t="str">
        <f t="shared" si="17"/>
        <v>August</v>
      </c>
      <c r="AI122">
        <f t="shared" si="18"/>
        <v>2024</v>
      </c>
    </row>
    <row r="123" spans="1:35">
      <c r="A123" t="s">
        <v>488</v>
      </c>
      <c r="B123" s="2">
        <v>45891</v>
      </c>
      <c r="C123" s="2">
        <v>45895</v>
      </c>
      <c r="D123" t="s">
        <v>489</v>
      </c>
      <c r="E123" t="s">
        <v>279</v>
      </c>
      <c r="F123" t="s">
        <v>51</v>
      </c>
      <c r="G123" t="s">
        <v>68</v>
      </c>
      <c r="H123" t="s">
        <v>98</v>
      </c>
      <c r="I123" t="s">
        <v>99</v>
      </c>
      <c r="J123" t="s">
        <v>88</v>
      </c>
      <c r="K123" t="s">
        <v>289</v>
      </c>
      <c r="L123" t="s">
        <v>490</v>
      </c>
      <c r="M123" t="s">
        <v>45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116</v>
      </c>
      <c r="U123" t="s">
        <v>82</v>
      </c>
      <c r="V123" t="str">
        <f t="shared" si="9"/>
        <v>Valid</v>
      </c>
      <c r="W123">
        <f t="shared" si="10"/>
        <v>4</v>
      </c>
      <c r="Y123" t="str">
        <f t="shared" si="11"/>
        <v>OK</v>
      </c>
      <c r="Z123" t="str">
        <f t="shared" si="12"/>
        <v>OK</v>
      </c>
      <c r="AA123" t="str">
        <f t="shared" si="13"/>
        <v>OK</v>
      </c>
      <c r="AB123" t="str">
        <f t="shared" si="14"/>
        <v>Valid</v>
      </c>
      <c r="AC123" t="str">
        <f>IF(OR(AB123="Invalid Discount",V123="Invalid Shipping"),
"Invalid",
IF(OR(Y123="Missing Region",
Z123="Missing Ship Mode",
AA123="Missing Discount",
X123="Flagged for Review"),
"Warning",
"Clean"))</f>
        <v>Clean</v>
      </c>
      <c r="AD123">
        <f t="shared" si="15"/>
        <v>0</v>
      </c>
      <c r="AE123">
        <f>N123*O123*(1-AD123)</f>
        <v>17414.599999999999</v>
      </c>
      <c r="AF123">
        <f>AE123-R123</f>
        <v>5653.6899999999987</v>
      </c>
      <c r="AG123" s="3">
        <f t="shared" si="16"/>
        <v>0.3246523032398102</v>
      </c>
      <c r="AH123" t="str">
        <f t="shared" si="17"/>
        <v>August</v>
      </c>
      <c r="AI123">
        <f t="shared" si="18"/>
        <v>2025</v>
      </c>
    </row>
    <row r="124" spans="1:35">
      <c r="A124" t="s">
        <v>491</v>
      </c>
      <c r="B124" s="2">
        <v>45626</v>
      </c>
      <c r="C124" s="2">
        <v>45630</v>
      </c>
      <c r="D124" t="s">
        <v>492</v>
      </c>
      <c r="E124" t="s">
        <v>76</v>
      </c>
      <c r="F124" t="s">
        <v>51</v>
      </c>
      <c r="G124" t="s">
        <v>52</v>
      </c>
      <c r="H124" t="s">
        <v>180</v>
      </c>
      <c r="I124" t="s">
        <v>181</v>
      </c>
      <c r="J124" t="s">
        <v>55</v>
      </c>
      <c r="K124" t="s">
        <v>80</v>
      </c>
      <c r="L124" t="s">
        <v>493</v>
      </c>
      <c r="M124" t="s">
        <v>45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46</v>
      </c>
      <c r="U124" t="s">
        <v>47</v>
      </c>
      <c r="V124" t="str">
        <f t="shared" si="9"/>
        <v>Valid</v>
      </c>
      <c r="W124">
        <f t="shared" si="10"/>
        <v>4</v>
      </c>
      <c r="Y124" t="str">
        <f t="shared" si="11"/>
        <v>OK</v>
      </c>
      <c r="Z124" t="str">
        <f t="shared" si="12"/>
        <v>OK</v>
      </c>
      <c r="AA124" t="str">
        <f t="shared" si="13"/>
        <v>OK</v>
      </c>
      <c r="AB124" t="str">
        <f t="shared" si="14"/>
        <v>Valid</v>
      </c>
      <c r="AC124" t="str">
        <f>IF(OR(AB124="Invalid Discount",V124="Invalid Shipping"),
"Invalid",
IF(OR(Y124="Missing Region",
Z124="Missing Ship Mode",
AA124="Missing Discount",
X124="Flagged for Review"),
"Warning",
"Clean"))</f>
        <v>Clean</v>
      </c>
      <c r="AD124">
        <f t="shared" si="15"/>
        <v>0</v>
      </c>
      <c r="AE124">
        <f>N124*O124*(1-AD124)</f>
        <v>511.04999999999995</v>
      </c>
      <c r="AF124">
        <f>AE124-R124</f>
        <v>143.86999999999995</v>
      </c>
      <c r="AG124" s="3">
        <f t="shared" si="16"/>
        <v>0.28151844242246349</v>
      </c>
      <c r="AH124" t="str">
        <f t="shared" si="17"/>
        <v>November</v>
      </c>
      <c r="AI124">
        <f t="shared" si="18"/>
        <v>2024</v>
      </c>
    </row>
    <row r="125" spans="1:35">
      <c r="A125" t="s">
        <v>494</v>
      </c>
      <c r="B125" s="2">
        <v>45436</v>
      </c>
      <c r="C125" s="2">
        <v>45437</v>
      </c>
      <c r="D125" t="s">
        <v>495</v>
      </c>
      <c r="E125" t="s">
        <v>146</v>
      </c>
      <c r="F125" t="s">
        <v>51</v>
      </c>
      <c r="G125" t="s">
        <v>39</v>
      </c>
      <c r="H125" t="s">
        <v>136</v>
      </c>
      <c r="I125" t="s">
        <v>137</v>
      </c>
      <c r="J125" t="s">
        <v>88</v>
      </c>
      <c r="K125" t="s">
        <v>94</v>
      </c>
      <c r="L125" t="s">
        <v>496</v>
      </c>
      <c r="M125" t="s">
        <v>58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116</v>
      </c>
      <c r="U125" t="s">
        <v>82</v>
      </c>
      <c r="V125" t="str">
        <f t="shared" si="9"/>
        <v>Valid</v>
      </c>
      <c r="W125">
        <f t="shared" si="10"/>
        <v>1</v>
      </c>
      <c r="X125" t="s">
        <v>398</v>
      </c>
      <c r="Y125" t="str">
        <f t="shared" si="11"/>
        <v>OK</v>
      </c>
      <c r="Z125" t="str">
        <f t="shared" si="12"/>
        <v>OK</v>
      </c>
      <c r="AA125" t="str">
        <f t="shared" si="13"/>
        <v>OK</v>
      </c>
      <c r="AB125" t="str">
        <f t="shared" si="14"/>
        <v>Valid</v>
      </c>
      <c r="AC125" t="str">
        <f>IF(OR(AB125="Invalid Discount",V125="Invalid Shipping"),
"Invalid",
IF(OR(Y125="Missing Region",
Z125="Missing Ship Mode",
AA125="Missing Discount",
X125="Flagged for Review"),
"Warning",
"Clean"))</f>
        <v>Warning</v>
      </c>
      <c r="AD125">
        <f t="shared" si="15"/>
        <v>0</v>
      </c>
      <c r="AE125">
        <f>N125*O125*(1-AD125)</f>
        <v>634.13</v>
      </c>
      <c r="AF125">
        <f>AE125-R125</f>
        <v>180.77999999999997</v>
      </c>
      <c r="AG125" s="3">
        <f t="shared" si="16"/>
        <v>0.28508350022865969</v>
      </c>
      <c r="AH125" t="str">
        <f t="shared" si="17"/>
        <v>May</v>
      </c>
      <c r="AI125">
        <f t="shared" si="18"/>
        <v>2024</v>
      </c>
    </row>
    <row r="126" spans="1:35">
      <c r="A126" t="s">
        <v>497</v>
      </c>
      <c r="B126" s="2">
        <v>45494</v>
      </c>
      <c r="C126" s="2">
        <v>45497</v>
      </c>
      <c r="D126" t="s">
        <v>498</v>
      </c>
      <c r="E126" t="s">
        <v>61</v>
      </c>
      <c r="F126" t="s">
        <v>104</v>
      </c>
      <c r="G126" t="s">
        <v>68</v>
      </c>
      <c r="H126" t="s">
        <v>189</v>
      </c>
      <c r="I126" t="s">
        <v>190</v>
      </c>
      <c r="J126" t="s">
        <v>88</v>
      </c>
      <c r="K126" t="s">
        <v>94</v>
      </c>
      <c r="L126" t="s">
        <v>499</v>
      </c>
      <c r="M126" t="s">
        <v>73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46</v>
      </c>
      <c r="U126" t="s">
        <v>47</v>
      </c>
      <c r="V126" t="str">
        <f t="shared" si="9"/>
        <v>Valid</v>
      </c>
      <c r="W126">
        <f t="shared" si="10"/>
        <v>3</v>
      </c>
      <c r="Y126" t="str">
        <f t="shared" si="11"/>
        <v>OK</v>
      </c>
      <c r="Z126" t="str">
        <f t="shared" si="12"/>
        <v>OK</v>
      </c>
      <c r="AA126" t="str">
        <f t="shared" si="13"/>
        <v>OK</v>
      </c>
      <c r="AB126" t="str">
        <f t="shared" si="14"/>
        <v>Invalid Discount</v>
      </c>
      <c r="AC126" t="str">
        <f>IF(OR(AB126="Invalid Discount",V126="Invalid Shipping"),
"Invalid",
IF(OR(Y126="Missing Region",
Z126="Missing Ship Mode",
AA126="Missing Discount",
X126="Flagged for Review"),
"Warning",
"Clean"))</f>
        <v>Invalid</v>
      </c>
      <c r="AD126">
        <f t="shared" si="15"/>
        <v>-0.15</v>
      </c>
      <c r="AE126">
        <f>N126*O126*(1-AD126)</f>
        <v>4813.3709999999992</v>
      </c>
      <c r="AF126">
        <f>AE126-R126</f>
        <v>1369.6309999999994</v>
      </c>
      <c r="AG126" s="3">
        <f t="shared" si="16"/>
        <v>0.28454715001191466</v>
      </c>
      <c r="AH126" t="str">
        <f t="shared" si="17"/>
        <v>July</v>
      </c>
      <c r="AI126">
        <f t="shared" si="18"/>
        <v>2024</v>
      </c>
    </row>
    <row r="127" spans="1:35">
      <c r="A127" t="s">
        <v>500</v>
      </c>
      <c r="B127" s="2">
        <v>45855</v>
      </c>
      <c r="C127" s="2">
        <v>45856</v>
      </c>
      <c r="D127" t="s">
        <v>501</v>
      </c>
      <c r="E127" t="s">
        <v>93</v>
      </c>
      <c r="F127" t="s">
        <v>51</v>
      </c>
      <c r="G127" t="s">
        <v>77</v>
      </c>
      <c r="H127" t="s">
        <v>40</v>
      </c>
      <c r="I127" t="s">
        <v>123</v>
      </c>
      <c r="J127" t="s">
        <v>55</v>
      </c>
      <c r="K127" t="s">
        <v>56</v>
      </c>
      <c r="L127" t="s">
        <v>502</v>
      </c>
      <c r="M127" t="s">
        <v>58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116</v>
      </c>
      <c r="U127" t="s">
        <v>117</v>
      </c>
      <c r="V127" t="str">
        <f t="shared" si="9"/>
        <v>Valid</v>
      </c>
      <c r="W127">
        <f t="shared" si="10"/>
        <v>1</v>
      </c>
      <c r="Y127" t="str">
        <f t="shared" si="11"/>
        <v>OK</v>
      </c>
      <c r="Z127" t="str">
        <f t="shared" si="12"/>
        <v>OK</v>
      </c>
      <c r="AA127" t="str">
        <f t="shared" si="13"/>
        <v>OK</v>
      </c>
      <c r="AB127" t="str">
        <f t="shared" si="14"/>
        <v>Valid</v>
      </c>
      <c r="AC127" t="str">
        <f>IF(OR(AB127="Invalid Discount",V127="Invalid Shipping"),
"Invalid",
IF(OR(Y127="Missing Region",
Z127="Missing Ship Mode",
AA127="Missing Discount",
X127="Flagged for Review"),
"Warning",
"Clean"))</f>
        <v>Clean</v>
      </c>
      <c r="AD127">
        <f t="shared" si="15"/>
        <v>0.25</v>
      </c>
      <c r="AE127">
        <f>N127*O127*(1-AD127)</f>
        <v>14558.715</v>
      </c>
      <c r="AF127">
        <f>AE127-R127</f>
        <v>4967.2350000000006</v>
      </c>
      <c r="AG127" s="3">
        <f t="shared" si="16"/>
        <v>0.34118636157105903</v>
      </c>
      <c r="AH127" t="str">
        <f t="shared" si="17"/>
        <v>July</v>
      </c>
      <c r="AI127">
        <f t="shared" si="18"/>
        <v>2025</v>
      </c>
    </row>
    <row r="128" spans="1:35">
      <c r="A128" t="s">
        <v>503</v>
      </c>
      <c r="B128" s="2">
        <v>45924</v>
      </c>
      <c r="C128" s="2">
        <v>45926</v>
      </c>
      <c r="D128" t="s">
        <v>504</v>
      </c>
      <c r="E128" t="s">
        <v>128</v>
      </c>
      <c r="F128" t="s">
        <v>104</v>
      </c>
      <c r="G128" t="s">
        <v>39</v>
      </c>
      <c r="H128" t="s">
        <v>365</v>
      </c>
      <c r="I128" t="s">
        <v>366</v>
      </c>
      <c r="J128" t="s">
        <v>88</v>
      </c>
      <c r="K128" t="s">
        <v>94</v>
      </c>
      <c r="L128" t="s">
        <v>505</v>
      </c>
      <c r="M128" t="s">
        <v>73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46</v>
      </c>
      <c r="U128" t="s">
        <v>47</v>
      </c>
      <c r="V128" t="str">
        <f t="shared" si="9"/>
        <v>Valid</v>
      </c>
      <c r="W128">
        <f t="shared" si="10"/>
        <v>2</v>
      </c>
      <c r="Y128" t="str">
        <f t="shared" si="11"/>
        <v>OK</v>
      </c>
      <c r="Z128" t="str">
        <f t="shared" si="12"/>
        <v>OK</v>
      </c>
      <c r="AA128" t="str">
        <f t="shared" si="13"/>
        <v>OK</v>
      </c>
      <c r="AB128" t="str">
        <f t="shared" si="14"/>
        <v>Valid</v>
      </c>
      <c r="AC128" t="str">
        <f>IF(OR(AB128="Invalid Discount",V128="Invalid Shipping"),
"Invalid",
IF(OR(Y128="Missing Region",
Z128="Missing Ship Mode",
AA128="Missing Discount",
X128="Flagged for Review"),
"Warning",
"Clean"))</f>
        <v>Clean</v>
      </c>
      <c r="AD128">
        <f t="shared" si="15"/>
        <v>0.1</v>
      </c>
      <c r="AE128">
        <f>N128*O128*(1-AD128)</f>
        <v>4303.4220000000005</v>
      </c>
      <c r="AF128">
        <f>AE128-R128</f>
        <v>1734.8520000000003</v>
      </c>
      <c r="AG128" s="3">
        <f t="shared" si="16"/>
        <v>0.40313313451481175</v>
      </c>
      <c r="AH128" t="str">
        <f t="shared" si="17"/>
        <v>September</v>
      </c>
      <c r="AI128">
        <f t="shared" si="18"/>
        <v>2025</v>
      </c>
    </row>
    <row r="129" spans="1:35">
      <c r="A129" t="s">
        <v>506</v>
      </c>
      <c r="B129" s="2">
        <v>45687</v>
      </c>
      <c r="C129" s="2">
        <v>45683</v>
      </c>
      <c r="D129" t="s">
        <v>507</v>
      </c>
      <c r="E129" t="s">
        <v>128</v>
      </c>
      <c r="F129" t="s">
        <v>104</v>
      </c>
      <c r="G129" t="s">
        <v>77</v>
      </c>
      <c r="H129" t="s">
        <v>86</v>
      </c>
      <c r="I129" t="s">
        <v>87</v>
      </c>
      <c r="J129" t="s">
        <v>42</v>
      </c>
      <c r="K129" t="s">
        <v>138</v>
      </c>
      <c r="L129" t="s">
        <v>508</v>
      </c>
      <c r="M129" t="s">
        <v>45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46</v>
      </c>
      <c r="U129" t="s">
        <v>47</v>
      </c>
      <c r="V129" t="str">
        <f t="shared" si="9"/>
        <v>Invalid Shipping</v>
      </c>
      <c r="W129">
        <f t="shared" si="10"/>
        <v>-4</v>
      </c>
      <c r="Y129" t="str">
        <f t="shared" si="11"/>
        <v>OK</v>
      </c>
      <c r="Z129" t="str">
        <f t="shared" si="12"/>
        <v>OK</v>
      </c>
      <c r="AA129" t="str">
        <f t="shared" si="13"/>
        <v>OK</v>
      </c>
      <c r="AB129" t="str">
        <f t="shared" si="14"/>
        <v>Valid</v>
      </c>
      <c r="AC129" t="str">
        <f>IF(OR(AB129="Invalid Discount",V129="Invalid Shipping"),
"Invalid",
IF(OR(Y129="Missing Region",
Z129="Missing Ship Mode",
AA129="Missing Discount",
X129="Flagged for Review"),
"Warning",
"Clean"))</f>
        <v>Invalid</v>
      </c>
      <c r="AD129">
        <f t="shared" si="15"/>
        <v>0.05</v>
      </c>
      <c r="AE129">
        <f>N129*O129*(1-AD129)</f>
        <v>5774.67</v>
      </c>
      <c r="AF129">
        <f>AE129-R129</f>
        <v>2256.31</v>
      </c>
      <c r="AG129" s="3">
        <f t="shared" si="16"/>
        <v>0.39072535746631409</v>
      </c>
      <c r="AH129" t="str">
        <f t="shared" si="17"/>
        <v>January</v>
      </c>
      <c r="AI129">
        <f t="shared" si="18"/>
        <v>2025</v>
      </c>
    </row>
    <row r="130" spans="1:35">
      <c r="A130" t="s">
        <v>509</v>
      </c>
      <c r="B130" s="2">
        <v>45639</v>
      </c>
      <c r="C130" s="2">
        <v>45642</v>
      </c>
      <c r="D130" t="s">
        <v>510</v>
      </c>
      <c r="E130" t="s">
        <v>93</v>
      </c>
      <c r="F130" t="s">
        <v>51</v>
      </c>
      <c r="G130" t="s">
        <v>52</v>
      </c>
      <c r="H130" t="s">
        <v>53</v>
      </c>
      <c r="I130" t="s">
        <v>54</v>
      </c>
      <c r="J130" t="s">
        <v>55</v>
      </c>
      <c r="K130" t="s">
        <v>71</v>
      </c>
      <c r="L130" t="s">
        <v>511</v>
      </c>
      <c r="M130" t="s">
        <v>73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46</v>
      </c>
      <c r="U130" t="s">
        <v>117</v>
      </c>
      <c r="V130" t="str">
        <f t="shared" si="9"/>
        <v>Valid</v>
      </c>
      <c r="W130">
        <f t="shared" si="10"/>
        <v>3</v>
      </c>
      <c r="Y130" t="str">
        <f t="shared" si="11"/>
        <v>OK</v>
      </c>
      <c r="Z130" t="str">
        <f t="shared" si="12"/>
        <v>OK</v>
      </c>
      <c r="AA130" t="str">
        <f t="shared" si="13"/>
        <v>OK</v>
      </c>
      <c r="AB130" t="str">
        <f t="shared" si="14"/>
        <v>Valid</v>
      </c>
      <c r="AC130" t="str">
        <f>IF(OR(AB130="Invalid Discount",V130="Invalid Shipping"),
"Invalid",
IF(OR(Y130="Missing Region",
Z130="Missing Ship Mode",
AA130="Missing Discount",
X130="Flagged for Review"),
"Warning",
"Clean"))</f>
        <v>Clean</v>
      </c>
      <c r="AD130">
        <f t="shared" si="15"/>
        <v>0.05</v>
      </c>
      <c r="AE130">
        <f>N130*O130*(1-AD130)</f>
        <v>4386.3874999999998</v>
      </c>
      <c r="AF130">
        <f>AE130-R130</f>
        <v>1019.5074999999997</v>
      </c>
      <c r="AG130" s="3">
        <f t="shared" si="16"/>
        <v>0.2324253158208206</v>
      </c>
      <c r="AH130" t="str">
        <f t="shared" si="17"/>
        <v>December</v>
      </c>
      <c r="AI130">
        <f t="shared" si="18"/>
        <v>2024</v>
      </c>
    </row>
    <row r="131" spans="1:35">
      <c r="A131" t="s">
        <v>512</v>
      </c>
      <c r="B131" s="2">
        <v>45492</v>
      </c>
      <c r="C131" s="2">
        <v>45498</v>
      </c>
      <c r="D131" t="s">
        <v>513</v>
      </c>
      <c r="E131" t="s">
        <v>61</v>
      </c>
      <c r="F131" t="s">
        <v>51</v>
      </c>
      <c r="G131" t="s">
        <v>77</v>
      </c>
      <c r="H131" t="s">
        <v>204</v>
      </c>
      <c r="I131" t="s">
        <v>205</v>
      </c>
      <c r="J131" t="s">
        <v>42</v>
      </c>
      <c r="K131" t="s">
        <v>167</v>
      </c>
      <c r="L131" t="s">
        <v>514</v>
      </c>
      <c r="M131" t="s">
        <v>73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46</v>
      </c>
      <c r="U131" t="s">
        <v>47</v>
      </c>
      <c r="V131" t="str">
        <f t="shared" ref="V131:V194" si="19">IF(C131&lt;B131,"Invalid Shipping","Valid")</f>
        <v>Valid</v>
      </c>
      <c r="W131">
        <f t="shared" ref="W131:W194" si="20">C131-B131</f>
        <v>6</v>
      </c>
      <c r="Y131" t="str">
        <f t="shared" ref="Y131:Y194" si="21">IF(G131="Unknown","Missing Region","OK")</f>
        <v>OK</v>
      </c>
      <c r="Z131" t="str">
        <f t="shared" ref="Z131:Z194" si="22">IF(M131="Unknown","Missing Ship Mode","OK")</f>
        <v>OK</v>
      </c>
      <c r="AA131" t="str">
        <f t="shared" ref="AA131:AA194" si="23">IF(P131="","Missing Discount","OK")</f>
        <v>OK</v>
      </c>
      <c r="AB131" t="str">
        <f t="shared" ref="AB131:AB194" si="24">IF(OR(P131&lt;0,P131&gt;1),"Invalid Discount","Valid")</f>
        <v>Valid</v>
      </c>
      <c r="AC131" t="str">
        <f>IF(OR(AB131="Invalid Discount",V131="Invalid Shipping"),
"Invalid",
IF(OR(Y131="Missing Region",
Z131="Missing Ship Mode",
AA131="Missing Discount",
X131="Flagged for Review"),
"Warning",
"Clean"))</f>
        <v>Clean</v>
      </c>
      <c r="AD131">
        <f t="shared" ref="AD131:AD194" si="25">IF(P131="",0,P131)</f>
        <v>0.05</v>
      </c>
      <c r="AE131">
        <f>N131*O131*(1-AD131)</f>
        <v>18229.5785</v>
      </c>
      <c r="AF131">
        <f>AE131-R131</f>
        <v>3090.4285</v>
      </c>
      <c r="AG131" s="3">
        <f t="shared" ref="AG131:AG194" si="26">IF(AE131=0,0,AF131/AE131)</f>
        <v>0.16952824773211295</v>
      </c>
      <c r="AH131" t="str">
        <f t="shared" ref="AH131:AH194" si="27">TEXT(B131,"mmmm")</f>
        <v>July</v>
      </c>
      <c r="AI131">
        <f t="shared" ref="AI131:AI194" si="28">YEAR(B131)</f>
        <v>2024</v>
      </c>
    </row>
    <row r="132" spans="1:35">
      <c r="A132" t="s">
        <v>515</v>
      </c>
      <c r="B132" s="2">
        <v>45318</v>
      </c>
      <c r="C132" s="2">
        <v>45324</v>
      </c>
      <c r="D132" t="s">
        <v>516</v>
      </c>
      <c r="E132" t="s">
        <v>67</v>
      </c>
      <c r="F132" t="s">
        <v>38</v>
      </c>
      <c r="G132" t="s">
        <v>77</v>
      </c>
      <c r="H132" t="s">
        <v>194</v>
      </c>
      <c r="I132" t="s">
        <v>195</v>
      </c>
      <c r="J132" t="s">
        <v>42</v>
      </c>
      <c r="K132" t="s">
        <v>105</v>
      </c>
      <c r="L132" t="s">
        <v>517</v>
      </c>
      <c r="M132" t="s">
        <v>58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125</v>
      </c>
      <c r="U132" t="s">
        <v>82</v>
      </c>
      <c r="V132" t="str">
        <f t="shared" si="19"/>
        <v>Valid</v>
      </c>
      <c r="W132">
        <f t="shared" si="20"/>
        <v>6</v>
      </c>
      <c r="Y132" t="str">
        <f t="shared" si="21"/>
        <v>OK</v>
      </c>
      <c r="Z132" t="str">
        <f t="shared" si="22"/>
        <v>OK</v>
      </c>
      <c r="AA132" t="str">
        <f t="shared" si="23"/>
        <v>OK</v>
      </c>
      <c r="AB132" t="str">
        <f t="shared" si="24"/>
        <v>Valid</v>
      </c>
      <c r="AC132" t="str">
        <f>IF(OR(AB132="Invalid Discount",V132="Invalid Shipping"),
"Invalid",
IF(OR(Y132="Missing Region",
Z132="Missing Ship Mode",
AA132="Missing Discount",
X132="Flagged for Review"),
"Warning",
"Clean"))</f>
        <v>Clean</v>
      </c>
      <c r="AD132">
        <f t="shared" si="25"/>
        <v>0.2</v>
      </c>
      <c r="AE132">
        <f>N132*O132*(1-AD132)</f>
        <v>873.68</v>
      </c>
      <c r="AF132">
        <f>AE132-R132</f>
        <v>211.95999999999992</v>
      </c>
      <c r="AG132" s="3">
        <f t="shared" si="26"/>
        <v>0.24260598846259493</v>
      </c>
      <c r="AH132" t="str">
        <f t="shared" si="27"/>
        <v>January</v>
      </c>
      <c r="AI132">
        <f t="shared" si="28"/>
        <v>2024</v>
      </c>
    </row>
    <row r="133" spans="1:35">
      <c r="A133" t="s">
        <v>518</v>
      </c>
      <c r="B133" s="2">
        <v>45929</v>
      </c>
      <c r="C133" s="2">
        <v>45934</v>
      </c>
      <c r="D133" t="s">
        <v>519</v>
      </c>
      <c r="E133" t="s">
        <v>76</v>
      </c>
      <c r="F133" t="s">
        <v>109</v>
      </c>
      <c r="G133" t="s">
        <v>52</v>
      </c>
      <c r="H133" t="s">
        <v>243</v>
      </c>
      <c r="I133" t="s">
        <v>244</v>
      </c>
      <c r="J133" t="s">
        <v>42</v>
      </c>
      <c r="K133" t="s">
        <v>43</v>
      </c>
      <c r="L133" t="s">
        <v>520</v>
      </c>
      <c r="M133" t="s">
        <v>58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46</v>
      </c>
      <c r="U133" t="s">
        <v>47</v>
      </c>
      <c r="V133" t="str">
        <f t="shared" si="19"/>
        <v>Valid</v>
      </c>
      <c r="W133">
        <f t="shared" si="20"/>
        <v>5</v>
      </c>
      <c r="Y133" t="str">
        <f t="shared" si="21"/>
        <v>OK</v>
      </c>
      <c r="Z133" t="str">
        <f t="shared" si="22"/>
        <v>OK</v>
      </c>
      <c r="AA133" t="str">
        <f t="shared" si="23"/>
        <v>OK</v>
      </c>
      <c r="AB133" t="str">
        <f t="shared" si="24"/>
        <v>Valid</v>
      </c>
      <c r="AC133" t="str">
        <f>IF(OR(AB133="Invalid Discount",V133="Invalid Shipping"),
"Invalid",
IF(OR(Y133="Missing Region",
Z133="Missing Ship Mode",
AA133="Missing Discount",
X133="Flagged for Review"),
"Warning",
"Clean"))</f>
        <v>Clean</v>
      </c>
      <c r="AD133">
        <f t="shared" si="25"/>
        <v>0.2</v>
      </c>
      <c r="AE133">
        <f>N133*O133*(1-AD133)</f>
        <v>2692.152</v>
      </c>
      <c r="AF133">
        <f>AE133-R133</f>
        <v>647.66200000000003</v>
      </c>
      <c r="AG133" s="3">
        <f t="shared" si="26"/>
        <v>0.24057408348414205</v>
      </c>
      <c r="AH133" t="str">
        <f t="shared" si="27"/>
        <v>September</v>
      </c>
      <c r="AI133">
        <f t="shared" si="28"/>
        <v>2025</v>
      </c>
    </row>
    <row r="134" spans="1:35">
      <c r="A134" t="s">
        <v>521</v>
      </c>
      <c r="B134" s="2">
        <v>45600</v>
      </c>
      <c r="C134" s="2">
        <v>45600</v>
      </c>
      <c r="D134" t="s">
        <v>522</v>
      </c>
      <c r="E134" t="s">
        <v>279</v>
      </c>
      <c r="F134" t="s">
        <v>104</v>
      </c>
      <c r="G134" t="s">
        <v>52</v>
      </c>
      <c r="H134" t="s">
        <v>180</v>
      </c>
      <c r="I134" t="s">
        <v>181</v>
      </c>
      <c r="J134" t="s">
        <v>88</v>
      </c>
      <c r="K134" t="s">
        <v>289</v>
      </c>
      <c r="L134" t="s">
        <v>523</v>
      </c>
      <c r="M134" t="s">
        <v>64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169</v>
      </c>
      <c r="U134" t="s">
        <v>82</v>
      </c>
      <c r="V134" t="str">
        <f t="shared" si="19"/>
        <v>Valid</v>
      </c>
      <c r="W134">
        <f t="shared" si="20"/>
        <v>0</v>
      </c>
      <c r="Y134" t="str">
        <f t="shared" si="21"/>
        <v>OK</v>
      </c>
      <c r="Z134" t="str">
        <f t="shared" si="22"/>
        <v>OK</v>
      </c>
      <c r="AA134" t="str">
        <f t="shared" si="23"/>
        <v>OK</v>
      </c>
      <c r="AB134" t="str">
        <f t="shared" si="24"/>
        <v>Valid</v>
      </c>
      <c r="AC134" t="str">
        <f>IF(OR(AB134="Invalid Discount",V134="Invalid Shipping"),
"Invalid",
IF(OR(Y134="Missing Region",
Z134="Missing Ship Mode",
AA134="Missing Discount",
X134="Flagged for Review"),
"Warning",
"Clean"))</f>
        <v>Clean</v>
      </c>
      <c r="AD134">
        <f t="shared" si="25"/>
        <v>0</v>
      </c>
      <c r="AE134">
        <f>N134*O134*(1-AD134)</f>
        <v>1066.1600000000001</v>
      </c>
      <c r="AF134">
        <f>AE134-R134</f>
        <v>409.86000000000013</v>
      </c>
      <c r="AG134" s="3">
        <f t="shared" si="26"/>
        <v>0.38442635251744589</v>
      </c>
      <c r="AH134" t="str">
        <f t="shared" si="27"/>
        <v>November</v>
      </c>
      <c r="AI134">
        <f t="shared" si="28"/>
        <v>2024</v>
      </c>
    </row>
    <row r="135" spans="1:35">
      <c r="A135" t="s">
        <v>524</v>
      </c>
      <c r="B135" s="2">
        <v>45639</v>
      </c>
      <c r="C135" s="2">
        <v>45644</v>
      </c>
      <c r="D135" t="s">
        <v>525</v>
      </c>
      <c r="E135" t="s">
        <v>37</v>
      </c>
      <c r="F135" t="s">
        <v>38</v>
      </c>
      <c r="G135" t="s">
        <v>77</v>
      </c>
      <c r="H135" t="s">
        <v>204</v>
      </c>
      <c r="I135" t="s">
        <v>205</v>
      </c>
      <c r="J135" t="s">
        <v>88</v>
      </c>
      <c r="K135" t="s">
        <v>185</v>
      </c>
      <c r="L135" t="s">
        <v>526</v>
      </c>
      <c r="M135" t="s">
        <v>45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46</v>
      </c>
      <c r="U135" t="s">
        <v>47</v>
      </c>
      <c r="V135" t="str">
        <f t="shared" si="19"/>
        <v>Valid</v>
      </c>
      <c r="W135">
        <f t="shared" si="20"/>
        <v>5</v>
      </c>
      <c r="Y135" t="str">
        <f t="shared" si="21"/>
        <v>OK</v>
      </c>
      <c r="Z135" t="str">
        <f t="shared" si="22"/>
        <v>OK</v>
      </c>
      <c r="AA135" t="str">
        <f t="shared" si="23"/>
        <v>OK</v>
      </c>
      <c r="AB135" t="str">
        <f t="shared" si="24"/>
        <v>Valid</v>
      </c>
      <c r="AC135" t="str">
        <f>IF(OR(AB135="Invalid Discount",V135="Invalid Shipping"),
"Invalid",
IF(OR(Y135="Missing Region",
Z135="Missing Ship Mode",
AA135="Missing Discount",
X135="Flagged for Review"),
"Warning",
"Clean"))</f>
        <v>Clean</v>
      </c>
      <c r="AD135">
        <f t="shared" si="25"/>
        <v>0.15</v>
      </c>
      <c r="AE135">
        <f>N135*O135*(1-AD135)</f>
        <v>22930.62</v>
      </c>
      <c r="AF135">
        <f>AE135-R135</f>
        <v>6055.07</v>
      </c>
      <c r="AG135" s="3">
        <f t="shared" si="26"/>
        <v>0.26406045715292475</v>
      </c>
      <c r="AH135" t="str">
        <f t="shared" si="27"/>
        <v>December</v>
      </c>
      <c r="AI135">
        <f t="shared" si="28"/>
        <v>2024</v>
      </c>
    </row>
    <row r="136" spans="1:35">
      <c r="A136" t="s">
        <v>527</v>
      </c>
      <c r="B136" s="2">
        <v>45852</v>
      </c>
      <c r="C136" s="2">
        <v>45852</v>
      </c>
      <c r="D136" t="s">
        <v>528</v>
      </c>
      <c r="E136" t="s">
        <v>85</v>
      </c>
      <c r="F136" t="s">
        <v>109</v>
      </c>
      <c r="G136" t="s">
        <v>52</v>
      </c>
      <c r="H136" t="s">
        <v>113</v>
      </c>
      <c r="I136" t="s">
        <v>114</v>
      </c>
      <c r="J136" t="s">
        <v>55</v>
      </c>
      <c r="K136" t="s">
        <v>172</v>
      </c>
      <c r="L136" t="s">
        <v>529</v>
      </c>
      <c r="M136" t="s">
        <v>219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125</v>
      </c>
      <c r="U136" t="s">
        <v>82</v>
      </c>
      <c r="V136" t="str">
        <f t="shared" si="19"/>
        <v>Valid</v>
      </c>
      <c r="W136">
        <f t="shared" si="20"/>
        <v>0</v>
      </c>
      <c r="Y136" t="str">
        <f t="shared" si="21"/>
        <v>OK</v>
      </c>
      <c r="Z136" t="str">
        <f t="shared" si="22"/>
        <v>Missing Ship Mode</v>
      </c>
      <c r="AA136" t="str">
        <f t="shared" si="23"/>
        <v>OK</v>
      </c>
      <c r="AB136" t="str">
        <f t="shared" si="24"/>
        <v>Valid</v>
      </c>
      <c r="AC136" t="str">
        <f>IF(OR(AB136="Invalid Discount",V136="Invalid Shipping"),
"Invalid",
IF(OR(Y136="Missing Region",
Z136="Missing Ship Mode",
AA136="Missing Discount",
X136="Flagged for Review"),
"Warning",
"Clean"))</f>
        <v>Warning</v>
      </c>
      <c r="AD136">
        <f t="shared" si="25"/>
        <v>0.25</v>
      </c>
      <c r="AE136">
        <f>N136*O136*(1-AD136)</f>
        <v>1436.625</v>
      </c>
      <c r="AF136">
        <f>AE136-R136</f>
        <v>524.10500000000002</v>
      </c>
      <c r="AG136" s="3">
        <f t="shared" si="26"/>
        <v>0.36481684503610895</v>
      </c>
      <c r="AH136" t="str">
        <f t="shared" si="27"/>
        <v>July</v>
      </c>
      <c r="AI136">
        <f t="shared" si="28"/>
        <v>2025</v>
      </c>
    </row>
    <row r="137" spans="1:35">
      <c r="A137" t="s">
        <v>530</v>
      </c>
      <c r="B137" s="2">
        <v>45893</v>
      </c>
      <c r="C137" s="2">
        <v>45893</v>
      </c>
      <c r="D137" t="s">
        <v>531</v>
      </c>
      <c r="E137" t="s">
        <v>176</v>
      </c>
      <c r="F137" t="s">
        <v>51</v>
      </c>
      <c r="G137" t="s">
        <v>68</v>
      </c>
      <c r="H137" t="s">
        <v>199</v>
      </c>
      <c r="I137" t="s">
        <v>200</v>
      </c>
      <c r="J137" t="s">
        <v>55</v>
      </c>
      <c r="K137" t="s">
        <v>172</v>
      </c>
      <c r="L137" t="s">
        <v>532</v>
      </c>
      <c r="M137" t="s">
        <v>73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46</v>
      </c>
      <c r="U137" t="s">
        <v>47</v>
      </c>
      <c r="V137" t="str">
        <f t="shared" si="19"/>
        <v>Valid</v>
      </c>
      <c r="W137">
        <f t="shared" si="20"/>
        <v>0</v>
      </c>
      <c r="Y137" t="str">
        <f t="shared" si="21"/>
        <v>OK</v>
      </c>
      <c r="Z137" t="str">
        <f t="shared" si="22"/>
        <v>OK</v>
      </c>
      <c r="AA137" t="str">
        <f t="shared" si="23"/>
        <v>OK</v>
      </c>
      <c r="AB137" t="str">
        <f t="shared" si="24"/>
        <v>Valid</v>
      </c>
      <c r="AC137" t="str">
        <f>IF(OR(AB137="Invalid Discount",V137="Invalid Shipping"),
"Invalid",
IF(OR(Y137="Missing Region",
Z137="Missing Ship Mode",
AA137="Missing Discount",
X137="Flagged for Review"),
"Warning",
"Clean"))</f>
        <v>Clean</v>
      </c>
      <c r="AD137">
        <f t="shared" si="25"/>
        <v>0</v>
      </c>
      <c r="AE137">
        <f>N137*O137*(1-AD137)</f>
        <v>3424.78</v>
      </c>
      <c r="AF137">
        <f>AE137-R137</f>
        <v>1473.3300000000002</v>
      </c>
      <c r="AG137" s="3">
        <f t="shared" si="26"/>
        <v>0.43019697615613267</v>
      </c>
      <c r="AH137" t="str">
        <f t="shared" si="27"/>
        <v>August</v>
      </c>
      <c r="AI137">
        <f t="shared" si="28"/>
        <v>2025</v>
      </c>
    </row>
    <row r="138" spans="1:35">
      <c r="A138" t="s">
        <v>533</v>
      </c>
      <c r="B138" s="2">
        <v>45697</v>
      </c>
      <c r="C138" s="2">
        <v>45703</v>
      </c>
      <c r="D138" t="s">
        <v>534</v>
      </c>
      <c r="E138" t="s">
        <v>50</v>
      </c>
      <c r="F138" t="s">
        <v>109</v>
      </c>
      <c r="G138" t="s">
        <v>52</v>
      </c>
      <c r="H138" t="s">
        <v>243</v>
      </c>
      <c r="I138" t="s">
        <v>244</v>
      </c>
      <c r="J138" t="s">
        <v>42</v>
      </c>
      <c r="K138" t="s">
        <v>167</v>
      </c>
      <c r="L138" t="s">
        <v>535</v>
      </c>
      <c r="M138" t="s">
        <v>73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46</v>
      </c>
      <c r="U138" t="s">
        <v>47</v>
      </c>
      <c r="V138" t="str">
        <f t="shared" si="19"/>
        <v>Valid</v>
      </c>
      <c r="W138">
        <f t="shared" si="20"/>
        <v>6</v>
      </c>
      <c r="Y138" t="str">
        <f t="shared" si="21"/>
        <v>OK</v>
      </c>
      <c r="Z138" t="str">
        <f t="shared" si="22"/>
        <v>OK</v>
      </c>
      <c r="AA138" t="str">
        <f t="shared" si="23"/>
        <v>OK</v>
      </c>
      <c r="AB138" t="str">
        <f t="shared" si="24"/>
        <v>Valid</v>
      </c>
      <c r="AC138" t="str">
        <f>IF(OR(AB138="Invalid Discount",V138="Invalid Shipping"),
"Invalid",
IF(OR(Y138="Missing Region",
Z138="Missing Ship Mode",
AA138="Missing Discount",
X138="Flagged for Review"),
"Warning",
"Clean"))</f>
        <v>Clean</v>
      </c>
      <c r="AD138">
        <f t="shared" si="25"/>
        <v>0.2</v>
      </c>
      <c r="AE138">
        <f>N138*O138*(1-AD138)</f>
        <v>31178.376000000004</v>
      </c>
      <c r="AF138">
        <f>AE138-R138</f>
        <v>9757.2860000000037</v>
      </c>
      <c r="AG138" s="3">
        <f t="shared" si="26"/>
        <v>0.31295042435821552</v>
      </c>
      <c r="AH138" t="str">
        <f t="shared" si="27"/>
        <v>February</v>
      </c>
      <c r="AI138">
        <f t="shared" si="28"/>
        <v>2025</v>
      </c>
    </row>
    <row r="139" spans="1:35">
      <c r="A139" t="s">
        <v>536</v>
      </c>
      <c r="B139" s="2">
        <v>45666</v>
      </c>
      <c r="C139" s="2">
        <v>45666</v>
      </c>
      <c r="D139" t="s">
        <v>537</v>
      </c>
      <c r="E139" t="s">
        <v>146</v>
      </c>
      <c r="F139" t="s">
        <v>51</v>
      </c>
      <c r="G139" t="s">
        <v>39</v>
      </c>
      <c r="H139" t="s">
        <v>40</v>
      </c>
      <c r="I139" t="s">
        <v>41</v>
      </c>
      <c r="J139" t="s">
        <v>55</v>
      </c>
      <c r="K139" t="s">
        <v>80</v>
      </c>
      <c r="L139" t="s">
        <v>538</v>
      </c>
      <c r="M139" t="s">
        <v>58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46</v>
      </c>
      <c r="U139" t="s">
        <v>47</v>
      </c>
      <c r="V139" t="str">
        <f t="shared" si="19"/>
        <v>Valid</v>
      </c>
      <c r="W139">
        <f t="shared" si="20"/>
        <v>0</v>
      </c>
      <c r="Y139" t="str">
        <f t="shared" si="21"/>
        <v>OK</v>
      </c>
      <c r="Z139" t="str">
        <f t="shared" si="22"/>
        <v>OK</v>
      </c>
      <c r="AA139" t="str">
        <f t="shared" si="23"/>
        <v>OK</v>
      </c>
      <c r="AB139" t="str">
        <f t="shared" si="24"/>
        <v>Valid</v>
      </c>
      <c r="AC139" t="str">
        <f>IF(OR(AB139="Invalid Discount",V139="Invalid Shipping"),
"Invalid",
IF(OR(Y139="Missing Region",
Z139="Missing Ship Mode",
AA139="Missing Discount",
X139="Flagged for Review"),
"Warning",
"Clean"))</f>
        <v>Clean</v>
      </c>
      <c r="AD139">
        <f t="shared" si="25"/>
        <v>0.1</v>
      </c>
      <c r="AE139">
        <f>N139*O139*(1-AD139)</f>
        <v>19202.904000000002</v>
      </c>
      <c r="AF139">
        <f>AE139-R139</f>
        <v>3676.2840000000015</v>
      </c>
      <c r="AG139" s="3">
        <f t="shared" si="26"/>
        <v>0.19144416906942829</v>
      </c>
      <c r="AH139" t="str">
        <f t="shared" si="27"/>
        <v>January</v>
      </c>
      <c r="AI139">
        <f t="shared" si="28"/>
        <v>2025</v>
      </c>
    </row>
    <row r="140" spans="1:35">
      <c r="A140" t="s">
        <v>539</v>
      </c>
      <c r="B140" s="2">
        <v>45311</v>
      </c>
      <c r="C140" s="2">
        <v>45317</v>
      </c>
      <c r="D140" t="s">
        <v>540</v>
      </c>
      <c r="E140" t="s">
        <v>176</v>
      </c>
      <c r="F140" t="s">
        <v>109</v>
      </c>
      <c r="G140" t="s">
        <v>52</v>
      </c>
      <c r="H140" t="s">
        <v>243</v>
      </c>
      <c r="I140" t="s">
        <v>244</v>
      </c>
      <c r="J140" t="s">
        <v>88</v>
      </c>
      <c r="K140" t="s">
        <v>289</v>
      </c>
      <c r="L140" t="s">
        <v>541</v>
      </c>
      <c r="M140" t="s">
        <v>73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46</v>
      </c>
      <c r="U140" t="s">
        <v>47</v>
      </c>
      <c r="V140" t="str">
        <f t="shared" si="19"/>
        <v>Valid</v>
      </c>
      <c r="W140">
        <f t="shared" si="20"/>
        <v>6</v>
      </c>
      <c r="Y140" t="str">
        <f t="shared" si="21"/>
        <v>OK</v>
      </c>
      <c r="Z140" t="str">
        <f t="shared" si="22"/>
        <v>OK</v>
      </c>
      <c r="AA140" t="str">
        <f t="shared" si="23"/>
        <v>OK</v>
      </c>
      <c r="AB140" t="str">
        <f t="shared" si="24"/>
        <v>Valid</v>
      </c>
      <c r="AC140" t="str">
        <f>IF(OR(AB140="Invalid Discount",V140="Invalid Shipping"),
"Invalid",
IF(OR(Y140="Missing Region",
Z140="Missing Ship Mode",
AA140="Missing Discount",
X140="Flagged for Review"),
"Warning",
"Clean"))</f>
        <v>Clean</v>
      </c>
      <c r="AD140">
        <f t="shared" si="25"/>
        <v>0.25</v>
      </c>
      <c r="AE140">
        <f>N140*O140*(1-AD140)</f>
        <v>24018.300000000003</v>
      </c>
      <c r="AF140">
        <f>AE140-R140</f>
        <v>9947.5200000000023</v>
      </c>
      <c r="AG140" s="3">
        <f t="shared" si="26"/>
        <v>0.41416419979765434</v>
      </c>
      <c r="AH140" t="str">
        <f t="shared" si="27"/>
        <v>January</v>
      </c>
      <c r="AI140">
        <f t="shared" si="28"/>
        <v>2024</v>
      </c>
    </row>
    <row r="141" spans="1:35">
      <c r="A141" t="s">
        <v>542</v>
      </c>
      <c r="B141" s="2">
        <v>45718</v>
      </c>
      <c r="C141" s="2">
        <v>45723</v>
      </c>
      <c r="D141" t="s">
        <v>543</v>
      </c>
      <c r="E141" t="s">
        <v>93</v>
      </c>
      <c r="F141" t="s">
        <v>109</v>
      </c>
      <c r="G141" t="s">
        <v>68</v>
      </c>
      <c r="H141" t="s">
        <v>189</v>
      </c>
      <c r="I141" t="s">
        <v>190</v>
      </c>
      <c r="J141" t="s">
        <v>42</v>
      </c>
      <c r="K141" t="s">
        <v>105</v>
      </c>
      <c r="L141" t="s">
        <v>544</v>
      </c>
      <c r="M141" t="s">
        <v>73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46</v>
      </c>
      <c r="U141" t="s">
        <v>47</v>
      </c>
      <c r="V141" t="str">
        <f t="shared" si="19"/>
        <v>Valid</v>
      </c>
      <c r="W141">
        <f t="shared" si="20"/>
        <v>5</v>
      </c>
      <c r="Y141" t="str">
        <f t="shared" si="21"/>
        <v>OK</v>
      </c>
      <c r="Z141" t="str">
        <f t="shared" si="22"/>
        <v>OK</v>
      </c>
      <c r="AA141" t="str">
        <f t="shared" si="23"/>
        <v>OK</v>
      </c>
      <c r="AB141" t="str">
        <f t="shared" si="24"/>
        <v>Valid</v>
      </c>
      <c r="AC141" t="str">
        <f>IF(OR(AB141="Invalid Discount",V141="Invalid Shipping"),
"Invalid",
IF(OR(Y141="Missing Region",
Z141="Missing Ship Mode",
AA141="Missing Discount",
X141="Flagged for Review"),
"Warning",
"Clean"))</f>
        <v>Clean</v>
      </c>
      <c r="AD141">
        <f t="shared" si="25"/>
        <v>0</v>
      </c>
      <c r="AE141">
        <f>N141*O141*(1-AD141)</f>
        <v>10301.040000000001</v>
      </c>
      <c r="AF141">
        <f>AE141-R141</f>
        <v>3736.9800000000005</v>
      </c>
      <c r="AG141" s="3">
        <f t="shared" si="26"/>
        <v>0.3627769623261341</v>
      </c>
      <c r="AH141" t="str">
        <f t="shared" si="27"/>
        <v>March</v>
      </c>
      <c r="AI141">
        <f t="shared" si="28"/>
        <v>2025</v>
      </c>
    </row>
    <row r="142" spans="1:35">
      <c r="A142" t="s">
        <v>545</v>
      </c>
      <c r="B142" s="2">
        <v>45443</v>
      </c>
      <c r="C142" s="2">
        <v>45444</v>
      </c>
      <c r="D142" t="s">
        <v>546</v>
      </c>
      <c r="E142" t="s">
        <v>50</v>
      </c>
      <c r="F142" t="s">
        <v>104</v>
      </c>
      <c r="G142" t="s">
        <v>68</v>
      </c>
      <c r="H142" t="s">
        <v>189</v>
      </c>
      <c r="I142" t="s">
        <v>190</v>
      </c>
      <c r="J142" t="s">
        <v>55</v>
      </c>
      <c r="K142" t="s">
        <v>172</v>
      </c>
      <c r="L142" t="s">
        <v>547</v>
      </c>
      <c r="M142" t="s">
        <v>58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46</v>
      </c>
      <c r="U142" t="s">
        <v>47</v>
      </c>
      <c r="V142" t="str">
        <f t="shared" si="19"/>
        <v>Valid</v>
      </c>
      <c r="W142">
        <f t="shared" si="20"/>
        <v>1</v>
      </c>
      <c r="Y142" t="str">
        <f t="shared" si="21"/>
        <v>OK</v>
      </c>
      <c r="Z142" t="str">
        <f t="shared" si="22"/>
        <v>OK</v>
      </c>
      <c r="AA142" t="str">
        <f t="shared" si="23"/>
        <v>OK</v>
      </c>
      <c r="AB142" t="str">
        <f t="shared" si="24"/>
        <v>Valid</v>
      </c>
      <c r="AC142" t="str">
        <f>IF(OR(AB142="Invalid Discount",V142="Invalid Shipping"),
"Invalid",
IF(OR(Y142="Missing Region",
Z142="Missing Ship Mode",
AA142="Missing Discount",
X142="Flagged for Review"),
"Warning",
"Clean"))</f>
        <v>Clean</v>
      </c>
      <c r="AD142">
        <f t="shared" si="25"/>
        <v>0</v>
      </c>
      <c r="AE142">
        <f>N142*O142*(1-AD142)</f>
        <v>8743.6500000000015</v>
      </c>
      <c r="AF142">
        <f>AE142-R142</f>
        <v>2139.8900000000012</v>
      </c>
      <c r="AG142" s="3">
        <f t="shared" si="26"/>
        <v>0.24473646589239059</v>
      </c>
      <c r="AH142" t="str">
        <f t="shared" si="27"/>
        <v>May</v>
      </c>
      <c r="AI142">
        <f t="shared" si="28"/>
        <v>2024</v>
      </c>
    </row>
    <row r="143" spans="1:35">
      <c r="A143" t="s">
        <v>548</v>
      </c>
      <c r="B143" s="2">
        <v>45374</v>
      </c>
      <c r="C143" s="2">
        <v>45380</v>
      </c>
      <c r="D143" t="s">
        <v>549</v>
      </c>
      <c r="E143" t="s">
        <v>128</v>
      </c>
      <c r="F143" t="s">
        <v>104</v>
      </c>
      <c r="G143" t="s">
        <v>39</v>
      </c>
      <c r="H143" t="s">
        <v>365</v>
      </c>
      <c r="I143" t="s">
        <v>366</v>
      </c>
      <c r="J143" t="s">
        <v>55</v>
      </c>
      <c r="K143" t="s">
        <v>172</v>
      </c>
      <c r="L143" t="s">
        <v>550</v>
      </c>
      <c r="M143" t="s">
        <v>58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46</v>
      </c>
      <c r="U143" t="s">
        <v>117</v>
      </c>
      <c r="V143" t="str">
        <f t="shared" si="19"/>
        <v>Valid</v>
      </c>
      <c r="W143">
        <f t="shared" si="20"/>
        <v>6</v>
      </c>
      <c r="Y143" t="str">
        <f t="shared" si="21"/>
        <v>OK</v>
      </c>
      <c r="Z143" t="str">
        <f t="shared" si="22"/>
        <v>OK</v>
      </c>
      <c r="AA143" t="str">
        <f t="shared" si="23"/>
        <v>OK</v>
      </c>
      <c r="AB143" t="str">
        <f t="shared" si="24"/>
        <v>Valid</v>
      </c>
      <c r="AC143" t="str">
        <f>IF(OR(AB143="Invalid Discount",V143="Invalid Shipping"),
"Invalid",
IF(OR(Y143="Missing Region",
Z143="Missing Ship Mode",
AA143="Missing Discount",
X143="Flagged for Review"),
"Warning",
"Clean"))</f>
        <v>Clean</v>
      </c>
      <c r="AD143">
        <f t="shared" si="25"/>
        <v>0.1</v>
      </c>
      <c r="AE143">
        <f>N143*O143*(1-AD143)</f>
        <v>3996.027</v>
      </c>
      <c r="AF143">
        <f>AE143-R143</f>
        <v>1136.5169999999998</v>
      </c>
      <c r="AG143" s="3">
        <f t="shared" si="26"/>
        <v>0.28441174196270441</v>
      </c>
      <c r="AH143" t="str">
        <f t="shared" si="27"/>
        <v>March</v>
      </c>
      <c r="AI143">
        <f t="shared" si="28"/>
        <v>2024</v>
      </c>
    </row>
    <row r="144" spans="1:35">
      <c r="A144" t="s">
        <v>551</v>
      </c>
      <c r="B144" s="2">
        <v>45381</v>
      </c>
      <c r="C144" s="2">
        <v>45377</v>
      </c>
      <c r="D144" t="s">
        <v>552</v>
      </c>
      <c r="E144" t="s">
        <v>103</v>
      </c>
      <c r="F144" t="s">
        <v>109</v>
      </c>
      <c r="G144" t="s">
        <v>39</v>
      </c>
      <c r="H144" t="s">
        <v>40</v>
      </c>
      <c r="I144" t="s">
        <v>41</v>
      </c>
      <c r="J144" t="s">
        <v>88</v>
      </c>
      <c r="K144" t="s">
        <v>185</v>
      </c>
      <c r="L144" t="s">
        <v>553</v>
      </c>
      <c r="M144" t="s">
        <v>45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46</v>
      </c>
      <c r="U144" t="s">
        <v>47</v>
      </c>
      <c r="V144" t="str">
        <f t="shared" si="19"/>
        <v>Invalid Shipping</v>
      </c>
      <c r="W144">
        <f t="shared" si="20"/>
        <v>-4</v>
      </c>
      <c r="X144" t="s">
        <v>398</v>
      </c>
      <c r="Y144" t="str">
        <f t="shared" si="21"/>
        <v>OK</v>
      </c>
      <c r="Z144" t="str">
        <f t="shared" si="22"/>
        <v>OK</v>
      </c>
      <c r="AA144" t="str">
        <f t="shared" si="23"/>
        <v>OK</v>
      </c>
      <c r="AB144" t="str">
        <f t="shared" si="24"/>
        <v>Valid</v>
      </c>
      <c r="AC144" t="str">
        <f>IF(OR(AB144="Invalid Discount",V144="Invalid Shipping"),
"Invalid",
IF(OR(Y144="Missing Region",
Z144="Missing Ship Mode",
AA144="Missing Discount",
X144="Flagged for Review"),
"Warning",
"Clean"))</f>
        <v>Invalid</v>
      </c>
      <c r="AD144">
        <f t="shared" si="25"/>
        <v>0.15</v>
      </c>
      <c r="AE144">
        <f>N144*O144*(1-AD144)</f>
        <v>3857.0449999999996</v>
      </c>
      <c r="AF144">
        <f>AE144-R144</f>
        <v>1087.7849999999994</v>
      </c>
      <c r="AG144" s="3">
        <f t="shared" si="26"/>
        <v>0.28202548842442843</v>
      </c>
      <c r="AH144" t="str">
        <f t="shared" si="27"/>
        <v>March</v>
      </c>
      <c r="AI144">
        <f t="shared" si="28"/>
        <v>2024</v>
      </c>
    </row>
    <row r="145" spans="1:35">
      <c r="A145" t="s">
        <v>554</v>
      </c>
      <c r="B145" s="2">
        <v>45375</v>
      </c>
      <c r="C145" s="2">
        <v>45377</v>
      </c>
      <c r="D145" t="s">
        <v>555</v>
      </c>
      <c r="E145" t="s">
        <v>128</v>
      </c>
      <c r="F145" t="s">
        <v>38</v>
      </c>
      <c r="G145" t="s">
        <v>77</v>
      </c>
      <c r="H145" t="s">
        <v>194</v>
      </c>
      <c r="I145" t="s">
        <v>195</v>
      </c>
      <c r="J145" t="s">
        <v>42</v>
      </c>
      <c r="K145" t="s">
        <v>43</v>
      </c>
      <c r="L145" t="s">
        <v>556</v>
      </c>
      <c r="M145" t="s">
        <v>45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46</v>
      </c>
      <c r="U145" t="s">
        <v>117</v>
      </c>
      <c r="V145" t="str">
        <f t="shared" si="19"/>
        <v>Valid</v>
      </c>
      <c r="W145">
        <f t="shared" si="20"/>
        <v>2</v>
      </c>
      <c r="Y145" t="str">
        <f t="shared" si="21"/>
        <v>OK</v>
      </c>
      <c r="Z145" t="str">
        <f t="shared" si="22"/>
        <v>OK</v>
      </c>
      <c r="AA145" t="str">
        <f t="shared" si="23"/>
        <v>OK</v>
      </c>
      <c r="AB145" t="str">
        <f t="shared" si="24"/>
        <v>Valid</v>
      </c>
      <c r="AC145" t="str">
        <f>IF(OR(AB145="Invalid Discount",V145="Invalid Shipping"),
"Invalid",
IF(OR(Y145="Missing Region",
Z145="Missing Ship Mode",
AA145="Missing Discount",
X145="Flagged for Review"),
"Warning",
"Clean"))</f>
        <v>Clean</v>
      </c>
      <c r="AD145">
        <f t="shared" si="25"/>
        <v>0.1</v>
      </c>
      <c r="AE145">
        <f>N145*O145*(1-AD145)</f>
        <v>3068.55</v>
      </c>
      <c r="AF145">
        <f>AE145-R145</f>
        <v>1152.3900000000001</v>
      </c>
      <c r="AG145" s="3">
        <f t="shared" si="26"/>
        <v>0.3755487119323459</v>
      </c>
      <c r="AH145" t="str">
        <f t="shared" si="27"/>
        <v>March</v>
      </c>
      <c r="AI145">
        <f t="shared" si="28"/>
        <v>2024</v>
      </c>
    </row>
    <row r="146" spans="1:35">
      <c r="A146" t="s">
        <v>557</v>
      </c>
      <c r="B146" s="2">
        <v>45450</v>
      </c>
      <c r="C146" s="2">
        <v>45458</v>
      </c>
      <c r="D146" t="s">
        <v>558</v>
      </c>
      <c r="E146" t="s">
        <v>279</v>
      </c>
      <c r="F146" t="s">
        <v>51</v>
      </c>
      <c r="G146" t="s">
        <v>68</v>
      </c>
      <c r="H146" t="s">
        <v>69</v>
      </c>
      <c r="I146" t="s">
        <v>70</v>
      </c>
      <c r="J146" t="s">
        <v>88</v>
      </c>
      <c r="K146" t="s">
        <v>89</v>
      </c>
      <c r="L146" t="s">
        <v>559</v>
      </c>
      <c r="M146" t="s">
        <v>64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116</v>
      </c>
      <c r="U146" t="s">
        <v>117</v>
      </c>
      <c r="V146" t="str">
        <f t="shared" si="19"/>
        <v>Valid</v>
      </c>
      <c r="W146">
        <f t="shared" si="20"/>
        <v>8</v>
      </c>
      <c r="Y146" t="str">
        <f t="shared" si="21"/>
        <v>OK</v>
      </c>
      <c r="Z146" t="str">
        <f t="shared" si="22"/>
        <v>OK</v>
      </c>
      <c r="AA146" t="str">
        <f t="shared" si="23"/>
        <v>OK</v>
      </c>
      <c r="AB146" t="str">
        <f t="shared" si="24"/>
        <v>Valid</v>
      </c>
      <c r="AC146" t="str">
        <f>IF(OR(AB146="Invalid Discount",V146="Invalid Shipping"),
"Invalid",
IF(OR(Y146="Missing Region",
Z146="Missing Ship Mode",
AA146="Missing Discount",
X146="Flagged for Review"),
"Warning",
"Clean"))</f>
        <v>Clean</v>
      </c>
      <c r="AD146">
        <f t="shared" si="25"/>
        <v>0.25</v>
      </c>
      <c r="AE146">
        <f>N146*O146*(1-AD146)</f>
        <v>11276.947499999998</v>
      </c>
      <c r="AF146">
        <f>AE146-R146</f>
        <v>4368.1874999999982</v>
      </c>
      <c r="AG146" s="3">
        <f t="shared" si="26"/>
        <v>0.38735548782150481</v>
      </c>
      <c r="AH146" t="str">
        <f t="shared" si="27"/>
        <v>June</v>
      </c>
      <c r="AI146">
        <f t="shared" si="28"/>
        <v>2024</v>
      </c>
    </row>
    <row r="147" spans="1:35">
      <c r="A147" t="s">
        <v>560</v>
      </c>
      <c r="B147" s="2">
        <v>45758</v>
      </c>
      <c r="C147" s="2">
        <v>45760</v>
      </c>
      <c r="D147" t="s">
        <v>561</v>
      </c>
      <c r="E147" t="s">
        <v>50</v>
      </c>
      <c r="F147" t="s">
        <v>51</v>
      </c>
      <c r="G147" t="s">
        <v>77</v>
      </c>
      <c r="H147" t="s">
        <v>204</v>
      </c>
      <c r="I147" t="s">
        <v>205</v>
      </c>
      <c r="J147" t="s">
        <v>42</v>
      </c>
      <c r="K147" t="s">
        <v>43</v>
      </c>
      <c r="L147" t="s">
        <v>562</v>
      </c>
      <c r="M147" t="s">
        <v>73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46</v>
      </c>
      <c r="U147" t="s">
        <v>47</v>
      </c>
      <c r="V147" t="str">
        <f t="shared" si="19"/>
        <v>Valid</v>
      </c>
      <c r="W147">
        <f t="shared" si="20"/>
        <v>2</v>
      </c>
      <c r="Y147" t="str">
        <f t="shared" si="21"/>
        <v>OK</v>
      </c>
      <c r="Z147" t="str">
        <f t="shared" si="22"/>
        <v>OK</v>
      </c>
      <c r="AA147" t="str">
        <f t="shared" si="23"/>
        <v>OK</v>
      </c>
      <c r="AB147" t="str">
        <f t="shared" si="24"/>
        <v>Valid</v>
      </c>
      <c r="AC147" t="str">
        <f>IF(OR(AB147="Invalid Discount",V147="Invalid Shipping"),
"Invalid",
IF(OR(Y147="Missing Region",
Z147="Missing Ship Mode",
AA147="Missing Discount",
X147="Flagged for Review"),
"Warning",
"Clean"))</f>
        <v>Clean</v>
      </c>
      <c r="AD147">
        <f t="shared" si="25"/>
        <v>0.1</v>
      </c>
      <c r="AE147">
        <f>N147*O147*(1-AD147)</f>
        <v>15055.74</v>
      </c>
      <c r="AF147">
        <f>AE147-R147</f>
        <v>5246.91</v>
      </c>
      <c r="AG147" s="3">
        <f t="shared" si="26"/>
        <v>0.34849897779850075</v>
      </c>
      <c r="AH147" t="str">
        <f t="shared" si="27"/>
        <v>April</v>
      </c>
      <c r="AI147">
        <f t="shared" si="28"/>
        <v>2025</v>
      </c>
    </row>
    <row r="148" spans="1:35">
      <c r="A148" t="s">
        <v>563</v>
      </c>
      <c r="B148" s="2">
        <v>45868</v>
      </c>
      <c r="C148" s="2">
        <v>45870</v>
      </c>
      <c r="D148" t="s">
        <v>564</v>
      </c>
      <c r="E148" t="s">
        <v>146</v>
      </c>
      <c r="F148" t="s">
        <v>51</v>
      </c>
      <c r="G148" t="s">
        <v>68</v>
      </c>
      <c r="H148" t="s">
        <v>262</v>
      </c>
      <c r="I148" t="s">
        <v>263</v>
      </c>
      <c r="J148" t="s">
        <v>42</v>
      </c>
      <c r="K148" t="s">
        <v>138</v>
      </c>
      <c r="L148" t="s">
        <v>565</v>
      </c>
      <c r="M148" t="s">
        <v>58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46</v>
      </c>
      <c r="U148" t="s">
        <v>47</v>
      </c>
      <c r="V148" t="str">
        <f t="shared" si="19"/>
        <v>Valid</v>
      </c>
      <c r="W148">
        <f t="shared" si="20"/>
        <v>2</v>
      </c>
      <c r="Y148" t="str">
        <f t="shared" si="21"/>
        <v>OK</v>
      </c>
      <c r="Z148" t="str">
        <f t="shared" si="22"/>
        <v>OK</v>
      </c>
      <c r="AA148" t="str">
        <f t="shared" si="23"/>
        <v>OK</v>
      </c>
      <c r="AB148" t="str">
        <f t="shared" si="24"/>
        <v>Valid</v>
      </c>
      <c r="AC148" t="str">
        <f>IF(OR(AB148="Invalid Discount",V148="Invalid Shipping"),
"Invalid",
IF(OR(Y148="Missing Region",
Z148="Missing Ship Mode",
AA148="Missing Discount",
X148="Flagged for Review"),
"Warning",
"Clean"))</f>
        <v>Clean</v>
      </c>
      <c r="AD148">
        <f t="shared" si="25"/>
        <v>0.1</v>
      </c>
      <c r="AE148">
        <f>N148*O148*(1-AD148)</f>
        <v>25639.983</v>
      </c>
      <c r="AF148">
        <f>AE148-R148</f>
        <v>4004.9029999999984</v>
      </c>
      <c r="AG148" s="3">
        <f t="shared" si="26"/>
        <v>0.1561975684617263</v>
      </c>
      <c r="AH148" t="str">
        <f t="shared" si="27"/>
        <v>July</v>
      </c>
      <c r="AI148">
        <f t="shared" si="28"/>
        <v>2025</v>
      </c>
    </row>
    <row r="149" spans="1:35">
      <c r="A149" t="s">
        <v>566</v>
      </c>
      <c r="B149" s="2">
        <v>45649</v>
      </c>
      <c r="C149" s="2">
        <v>45656</v>
      </c>
      <c r="D149" t="s">
        <v>567</v>
      </c>
      <c r="E149" t="s">
        <v>128</v>
      </c>
      <c r="F149" t="s">
        <v>109</v>
      </c>
      <c r="G149" t="s">
        <v>77</v>
      </c>
      <c r="H149" t="s">
        <v>204</v>
      </c>
      <c r="I149" t="s">
        <v>205</v>
      </c>
      <c r="J149" t="s">
        <v>55</v>
      </c>
      <c r="K149" t="s">
        <v>71</v>
      </c>
      <c r="L149" t="s">
        <v>568</v>
      </c>
      <c r="M149" t="s">
        <v>64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46</v>
      </c>
      <c r="U149" t="s">
        <v>47</v>
      </c>
      <c r="V149" t="str">
        <f t="shared" si="19"/>
        <v>Valid</v>
      </c>
      <c r="W149">
        <f t="shared" si="20"/>
        <v>7</v>
      </c>
      <c r="Y149" t="str">
        <f t="shared" si="21"/>
        <v>OK</v>
      </c>
      <c r="Z149" t="str">
        <f t="shared" si="22"/>
        <v>OK</v>
      </c>
      <c r="AA149" t="str">
        <f t="shared" si="23"/>
        <v>OK</v>
      </c>
      <c r="AB149" t="str">
        <f t="shared" si="24"/>
        <v>Valid</v>
      </c>
      <c r="AC149" t="str">
        <f>IF(OR(AB149="Invalid Discount",V149="Invalid Shipping"),
"Invalid",
IF(OR(Y149="Missing Region",
Z149="Missing Ship Mode",
AA149="Missing Discount",
X149="Flagged for Review"),
"Warning",
"Clean"))</f>
        <v>Clean</v>
      </c>
      <c r="AD149">
        <f t="shared" si="25"/>
        <v>0.1</v>
      </c>
      <c r="AE149">
        <f>N149*O149*(1-AD149)</f>
        <v>2779.92</v>
      </c>
      <c r="AF149">
        <f>AE149-R149</f>
        <v>1035.8700000000001</v>
      </c>
      <c r="AG149" s="3">
        <f t="shared" si="26"/>
        <v>0.37262583095916435</v>
      </c>
      <c r="AH149" t="str">
        <f t="shared" si="27"/>
        <v>December</v>
      </c>
      <c r="AI149">
        <f t="shared" si="28"/>
        <v>2024</v>
      </c>
    </row>
    <row r="150" spans="1:35">
      <c r="A150" t="s">
        <v>569</v>
      </c>
      <c r="B150" s="2">
        <v>45697</v>
      </c>
      <c r="C150" s="2">
        <v>45701</v>
      </c>
      <c r="D150" t="s">
        <v>570</v>
      </c>
      <c r="E150" t="s">
        <v>50</v>
      </c>
      <c r="F150" t="s">
        <v>109</v>
      </c>
      <c r="G150" t="s">
        <v>77</v>
      </c>
      <c r="H150" t="s">
        <v>86</v>
      </c>
      <c r="I150" t="s">
        <v>87</v>
      </c>
      <c r="J150" t="s">
        <v>88</v>
      </c>
      <c r="K150" t="s">
        <v>185</v>
      </c>
      <c r="L150" t="s">
        <v>571</v>
      </c>
      <c r="M150" t="s">
        <v>219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46</v>
      </c>
      <c r="U150" t="s">
        <v>47</v>
      </c>
      <c r="V150" t="str">
        <f t="shared" si="19"/>
        <v>Valid</v>
      </c>
      <c r="W150">
        <f t="shared" si="20"/>
        <v>4</v>
      </c>
      <c r="Y150" t="str">
        <f t="shared" si="21"/>
        <v>OK</v>
      </c>
      <c r="Z150" t="str">
        <f t="shared" si="22"/>
        <v>Missing Ship Mode</v>
      </c>
      <c r="AA150" t="str">
        <f t="shared" si="23"/>
        <v>OK</v>
      </c>
      <c r="AB150" t="str">
        <f t="shared" si="24"/>
        <v>Valid</v>
      </c>
      <c r="AC150" t="str">
        <f>IF(OR(AB150="Invalid Discount",V150="Invalid Shipping"),
"Invalid",
IF(OR(Y150="Missing Region",
Z150="Missing Ship Mode",
AA150="Missing Discount",
X150="Flagged for Review"),
"Warning",
"Clean"))</f>
        <v>Warning</v>
      </c>
      <c r="AD150">
        <f t="shared" si="25"/>
        <v>0.25</v>
      </c>
      <c r="AE150">
        <f>N150*O150*(1-AD150)</f>
        <v>10176.42</v>
      </c>
      <c r="AF150">
        <f>AE150-R150</f>
        <v>2571.9499999999998</v>
      </c>
      <c r="AG150" s="3">
        <f t="shared" si="26"/>
        <v>0.252736227474888</v>
      </c>
      <c r="AH150" t="str">
        <f t="shared" si="27"/>
        <v>February</v>
      </c>
      <c r="AI150">
        <f t="shared" si="28"/>
        <v>2025</v>
      </c>
    </row>
    <row r="151" spans="1:35">
      <c r="A151" t="s">
        <v>572</v>
      </c>
      <c r="B151" s="2">
        <v>45321</v>
      </c>
      <c r="C151" s="2">
        <v>45321</v>
      </c>
      <c r="D151" t="s">
        <v>573</v>
      </c>
      <c r="E151" t="s">
        <v>142</v>
      </c>
      <c r="F151" t="s">
        <v>51</v>
      </c>
      <c r="G151" t="s">
        <v>77</v>
      </c>
      <c r="H151" t="s">
        <v>40</v>
      </c>
      <c r="I151" t="s">
        <v>123</v>
      </c>
      <c r="J151" t="s">
        <v>88</v>
      </c>
      <c r="K151" t="s">
        <v>94</v>
      </c>
      <c r="L151" t="s">
        <v>574</v>
      </c>
      <c r="M151" t="s">
        <v>58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46</v>
      </c>
      <c r="U151" t="s">
        <v>47</v>
      </c>
      <c r="V151" t="str">
        <f t="shared" si="19"/>
        <v>Valid</v>
      </c>
      <c r="W151">
        <f t="shared" si="20"/>
        <v>0</v>
      </c>
      <c r="Y151" t="str">
        <f t="shared" si="21"/>
        <v>OK</v>
      </c>
      <c r="Z151" t="str">
        <f t="shared" si="22"/>
        <v>OK</v>
      </c>
      <c r="AA151" t="str">
        <f t="shared" si="23"/>
        <v>OK</v>
      </c>
      <c r="AB151" t="str">
        <f t="shared" si="24"/>
        <v>Valid</v>
      </c>
      <c r="AC151" t="str">
        <f>IF(OR(AB151="Invalid Discount",V151="Invalid Shipping"),
"Invalid",
IF(OR(Y151="Missing Region",
Z151="Missing Ship Mode",
AA151="Missing Discount",
X151="Flagged for Review"),
"Warning",
"Clean"))</f>
        <v>Clean</v>
      </c>
      <c r="AD151">
        <f t="shared" si="25"/>
        <v>0.25</v>
      </c>
      <c r="AE151">
        <f>N151*O151*(1-AD151)</f>
        <v>13269.952499999999</v>
      </c>
      <c r="AF151">
        <f>AE151-R151</f>
        <v>4292.8524999999991</v>
      </c>
      <c r="AG151" s="3">
        <f t="shared" si="26"/>
        <v>0.32350172315989822</v>
      </c>
      <c r="AH151" t="str">
        <f t="shared" si="27"/>
        <v>January</v>
      </c>
      <c r="AI151">
        <f t="shared" si="28"/>
        <v>2024</v>
      </c>
    </row>
    <row r="152" spans="1:35">
      <c r="A152" t="s">
        <v>575</v>
      </c>
      <c r="B152" s="2">
        <v>45355</v>
      </c>
      <c r="C152" s="2">
        <v>45363</v>
      </c>
      <c r="D152" t="s">
        <v>576</v>
      </c>
      <c r="E152" t="s">
        <v>67</v>
      </c>
      <c r="F152" t="s">
        <v>38</v>
      </c>
      <c r="G152" t="s">
        <v>219</v>
      </c>
      <c r="H152" t="s">
        <v>194</v>
      </c>
      <c r="I152" t="s">
        <v>195</v>
      </c>
      <c r="J152" t="s">
        <v>55</v>
      </c>
      <c r="K152" t="s">
        <v>172</v>
      </c>
      <c r="L152" t="s">
        <v>577</v>
      </c>
      <c r="M152" t="s">
        <v>64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46</v>
      </c>
      <c r="U152" t="s">
        <v>47</v>
      </c>
      <c r="V152" t="str">
        <f t="shared" si="19"/>
        <v>Valid</v>
      </c>
      <c r="W152">
        <f t="shared" si="20"/>
        <v>8</v>
      </c>
      <c r="Y152" t="str">
        <f t="shared" si="21"/>
        <v>Missing Region</v>
      </c>
      <c r="Z152" t="str">
        <f t="shared" si="22"/>
        <v>OK</v>
      </c>
      <c r="AA152" t="str">
        <f t="shared" si="23"/>
        <v>OK</v>
      </c>
      <c r="AB152" t="str">
        <f t="shared" si="24"/>
        <v>Valid</v>
      </c>
      <c r="AC152" t="str">
        <f>IF(OR(AB152="Invalid Discount",V152="Invalid Shipping"),
"Invalid",
IF(OR(Y152="Missing Region",
Z152="Missing Ship Mode",
AA152="Missing Discount",
X152="Flagged for Review"),
"Warning",
"Clean"))</f>
        <v>Warning</v>
      </c>
      <c r="AD152">
        <f t="shared" si="25"/>
        <v>0.1</v>
      </c>
      <c r="AE152">
        <f>N152*O152*(1-AD152)</f>
        <v>1398.7079999999999</v>
      </c>
      <c r="AF152">
        <f>AE152-R152</f>
        <v>341.78799999999978</v>
      </c>
      <c r="AG152" s="3">
        <f t="shared" si="26"/>
        <v>0.24435979489643286</v>
      </c>
      <c r="AH152" t="str">
        <f t="shared" si="27"/>
        <v>March</v>
      </c>
      <c r="AI152">
        <f t="shared" si="28"/>
        <v>2024</v>
      </c>
    </row>
    <row r="153" spans="1:35">
      <c r="A153" t="s">
        <v>578</v>
      </c>
      <c r="B153" s="2">
        <v>45470</v>
      </c>
      <c r="C153" s="2">
        <v>45470</v>
      </c>
      <c r="D153" t="s">
        <v>579</v>
      </c>
      <c r="E153" t="s">
        <v>93</v>
      </c>
      <c r="F153" t="s">
        <v>109</v>
      </c>
      <c r="G153" t="s">
        <v>219</v>
      </c>
      <c r="H153" t="s">
        <v>86</v>
      </c>
      <c r="I153" t="s">
        <v>87</v>
      </c>
      <c r="J153" t="s">
        <v>88</v>
      </c>
      <c r="K153" t="s">
        <v>94</v>
      </c>
      <c r="L153" t="s">
        <v>580</v>
      </c>
      <c r="M153" t="s">
        <v>73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125</v>
      </c>
      <c r="U153" t="s">
        <v>117</v>
      </c>
      <c r="V153" t="str">
        <f t="shared" si="19"/>
        <v>Valid</v>
      </c>
      <c r="W153">
        <f t="shared" si="20"/>
        <v>0</v>
      </c>
      <c r="Y153" t="str">
        <f t="shared" si="21"/>
        <v>Missing Region</v>
      </c>
      <c r="Z153" t="str">
        <f t="shared" si="22"/>
        <v>OK</v>
      </c>
      <c r="AA153" t="str">
        <f t="shared" si="23"/>
        <v>OK</v>
      </c>
      <c r="AB153" t="str">
        <f t="shared" si="24"/>
        <v>Valid</v>
      </c>
      <c r="AC153" t="str">
        <f>IF(OR(AB153="Invalid Discount",V153="Invalid Shipping"),
"Invalid",
IF(OR(Y153="Missing Region",
Z153="Missing Ship Mode",
AA153="Missing Discount",
X153="Flagged for Review"),
"Warning",
"Clean"))</f>
        <v>Warning</v>
      </c>
      <c r="AD153">
        <f t="shared" si="25"/>
        <v>0</v>
      </c>
      <c r="AE153">
        <f>N153*O153*(1-AD153)</f>
        <v>7718.22</v>
      </c>
      <c r="AF153">
        <f>AE153-R153</f>
        <v>2362.29</v>
      </c>
      <c r="AG153" s="3">
        <f t="shared" si="26"/>
        <v>0.30606668376905555</v>
      </c>
      <c r="AH153" t="str">
        <f t="shared" si="27"/>
        <v>June</v>
      </c>
      <c r="AI153">
        <f t="shared" si="28"/>
        <v>2024</v>
      </c>
    </row>
    <row r="154" spans="1:35">
      <c r="A154" t="s">
        <v>581</v>
      </c>
      <c r="B154" s="2">
        <v>45457</v>
      </c>
      <c r="C154" s="2">
        <v>45460</v>
      </c>
      <c r="D154" t="s">
        <v>582</v>
      </c>
      <c r="E154" t="s">
        <v>279</v>
      </c>
      <c r="F154" t="s">
        <v>51</v>
      </c>
      <c r="G154" t="s">
        <v>68</v>
      </c>
      <c r="H154" t="s">
        <v>199</v>
      </c>
      <c r="I154" t="s">
        <v>200</v>
      </c>
      <c r="J154" t="s">
        <v>55</v>
      </c>
      <c r="K154" t="s">
        <v>56</v>
      </c>
      <c r="L154" t="s">
        <v>583</v>
      </c>
      <c r="M154" t="s">
        <v>45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125</v>
      </c>
      <c r="U154" t="s">
        <v>117</v>
      </c>
      <c r="V154" t="str">
        <f t="shared" si="19"/>
        <v>Valid</v>
      </c>
      <c r="W154">
        <f t="shared" si="20"/>
        <v>3</v>
      </c>
      <c r="Y154" t="str">
        <f t="shared" si="21"/>
        <v>OK</v>
      </c>
      <c r="Z154" t="str">
        <f t="shared" si="22"/>
        <v>OK</v>
      </c>
      <c r="AA154" t="str">
        <f t="shared" si="23"/>
        <v>OK</v>
      </c>
      <c r="AB154" t="str">
        <f t="shared" si="24"/>
        <v>Valid</v>
      </c>
      <c r="AC154" t="str">
        <f>IF(OR(AB154="Invalid Discount",V154="Invalid Shipping"),
"Invalid",
IF(OR(Y154="Missing Region",
Z154="Missing Ship Mode",
AA154="Missing Discount",
X154="Flagged for Review"),
"Warning",
"Clean"))</f>
        <v>Clean</v>
      </c>
      <c r="AD154">
        <f t="shared" si="25"/>
        <v>0.1</v>
      </c>
      <c r="AE154">
        <f>N154*O154*(1-AD154)</f>
        <v>5875.4160000000002</v>
      </c>
      <c r="AF154">
        <f>AE154-R154</f>
        <v>1494.866</v>
      </c>
      <c r="AG154" s="3">
        <f t="shared" si="26"/>
        <v>0.25442726098032886</v>
      </c>
      <c r="AH154" t="str">
        <f t="shared" si="27"/>
        <v>June</v>
      </c>
      <c r="AI154">
        <f t="shared" si="28"/>
        <v>2024</v>
      </c>
    </row>
    <row r="155" spans="1:35">
      <c r="A155" t="s">
        <v>584</v>
      </c>
      <c r="B155" s="2">
        <v>45923</v>
      </c>
      <c r="C155" s="2">
        <v>45925</v>
      </c>
      <c r="D155" t="s">
        <v>585</v>
      </c>
      <c r="E155" t="s">
        <v>103</v>
      </c>
      <c r="F155" t="s">
        <v>38</v>
      </c>
      <c r="G155" t="s">
        <v>52</v>
      </c>
      <c r="H155" t="s">
        <v>53</v>
      </c>
      <c r="I155" t="s">
        <v>54</v>
      </c>
      <c r="J155" t="s">
        <v>42</v>
      </c>
      <c r="K155" t="s">
        <v>105</v>
      </c>
      <c r="L155" t="s">
        <v>586</v>
      </c>
      <c r="M155" t="s">
        <v>73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116</v>
      </c>
      <c r="U155" t="s">
        <v>117</v>
      </c>
      <c r="V155" t="str">
        <f t="shared" si="19"/>
        <v>Valid</v>
      </c>
      <c r="W155">
        <f t="shared" si="20"/>
        <v>2</v>
      </c>
      <c r="Y155" t="str">
        <f t="shared" si="21"/>
        <v>OK</v>
      </c>
      <c r="Z155" t="str">
        <f t="shared" si="22"/>
        <v>OK</v>
      </c>
      <c r="AA155" t="str">
        <f t="shared" si="23"/>
        <v>OK</v>
      </c>
      <c r="AB155" t="str">
        <f t="shared" si="24"/>
        <v>Valid</v>
      </c>
      <c r="AC155" t="str">
        <f>IF(OR(AB155="Invalid Discount",V155="Invalid Shipping"),
"Invalid",
IF(OR(Y155="Missing Region",
Z155="Missing Ship Mode",
AA155="Missing Discount",
X155="Flagged for Review"),
"Warning",
"Clean"))</f>
        <v>Clean</v>
      </c>
      <c r="AD155">
        <f t="shared" si="25"/>
        <v>0</v>
      </c>
      <c r="AE155">
        <f>N155*O155*(1-AD155)</f>
        <v>22962.17</v>
      </c>
      <c r="AF155">
        <f>AE155-R155</f>
        <v>7245.6699999999983</v>
      </c>
      <c r="AG155" s="3">
        <f t="shared" si="26"/>
        <v>0.31554813852523517</v>
      </c>
      <c r="AH155" t="str">
        <f t="shared" si="27"/>
        <v>September</v>
      </c>
      <c r="AI155">
        <f t="shared" si="28"/>
        <v>2025</v>
      </c>
    </row>
    <row r="156" spans="1:35">
      <c r="A156" t="s">
        <v>587</v>
      </c>
      <c r="B156" s="2">
        <v>45334</v>
      </c>
      <c r="C156" s="2">
        <v>45333</v>
      </c>
      <c r="D156" t="s">
        <v>471</v>
      </c>
      <c r="E156" t="s">
        <v>128</v>
      </c>
      <c r="F156" t="s">
        <v>38</v>
      </c>
      <c r="G156" t="s">
        <v>68</v>
      </c>
      <c r="H156" t="s">
        <v>262</v>
      </c>
      <c r="I156" t="s">
        <v>263</v>
      </c>
      <c r="J156" t="s">
        <v>55</v>
      </c>
      <c r="K156" t="s">
        <v>172</v>
      </c>
      <c r="L156" t="s">
        <v>588</v>
      </c>
      <c r="M156" t="s">
        <v>58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46</v>
      </c>
      <c r="U156" t="s">
        <v>47</v>
      </c>
      <c r="V156" t="str">
        <f t="shared" si="19"/>
        <v>Invalid Shipping</v>
      </c>
      <c r="W156">
        <f t="shared" si="20"/>
        <v>-1</v>
      </c>
      <c r="Y156" t="str">
        <f t="shared" si="21"/>
        <v>OK</v>
      </c>
      <c r="Z156" t="str">
        <f t="shared" si="22"/>
        <v>OK</v>
      </c>
      <c r="AA156" t="str">
        <f t="shared" si="23"/>
        <v>OK</v>
      </c>
      <c r="AB156" t="str">
        <f t="shared" si="24"/>
        <v>Valid</v>
      </c>
      <c r="AC156" t="str">
        <f>IF(OR(AB156="Invalid Discount",V156="Invalid Shipping"),
"Invalid",
IF(OR(Y156="Missing Region",
Z156="Missing Ship Mode",
AA156="Missing Discount",
X156="Flagged for Review"),
"Warning",
"Clean"))</f>
        <v>Invalid</v>
      </c>
      <c r="AD156">
        <f t="shared" si="25"/>
        <v>0.15</v>
      </c>
      <c r="AE156">
        <f>N156*O156*(1-AD156)</f>
        <v>2209.252</v>
      </c>
      <c r="AF156">
        <f>AE156-R156</f>
        <v>685.47199999999998</v>
      </c>
      <c r="AG156" s="3">
        <f t="shared" si="26"/>
        <v>0.31027334138432372</v>
      </c>
      <c r="AH156" t="str">
        <f t="shared" si="27"/>
        <v>February</v>
      </c>
      <c r="AI156">
        <f t="shared" si="28"/>
        <v>2024</v>
      </c>
    </row>
    <row r="157" spans="1:35">
      <c r="A157" t="s">
        <v>589</v>
      </c>
      <c r="B157" s="2">
        <v>45683</v>
      </c>
      <c r="C157" s="2">
        <v>45691</v>
      </c>
      <c r="D157" t="s">
        <v>590</v>
      </c>
      <c r="E157" t="s">
        <v>37</v>
      </c>
      <c r="F157" t="s">
        <v>104</v>
      </c>
      <c r="G157" t="s">
        <v>77</v>
      </c>
      <c r="H157" t="s">
        <v>40</v>
      </c>
      <c r="I157" t="s">
        <v>123</v>
      </c>
      <c r="J157" t="s">
        <v>55</v>
      </c>
      <c r="K157" t="s">
        <v>71</v>
      </c>
      <c r="L157" t="s">
        <v>591</v>
      </c>
      <c r="M157" t="s">
        <v>58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116</v>
      </c>
      <c r="U157" t="s">
        <v>117</v>
      </c>
      <c r="V157" t="str">
        <f t="shared" si="19"/>
        <v>Valid</v>
      </c>
      <c r="W157">
        <f t="shared" si="20"/>
        <v>8</v>
      </c>
      <c r="Y157" t="str">
        <f t="shared" si="21"/>
        <v>OK</v>
      </c>
      <c r="Z157" t="str">
        <f t="shared" si="22"/>
        <v>OK</v>
      </c>
      <c r="AA157" t="str">
        <f t="shared" si="23"/>
        <v>OK</v>
      </c>
      <c r="AB157" t="str">
        <f t="shared" si="24"/>
        <v>Valid</v>
      </c>
      <c r="AC157" t="str">
        <f>IF(OR(AB157="Invalid Discount",V157="Invalid Shipping"),
"Invalid",
IF(OR(Y157="Missing Region",
Z157="Missing Ship Mode",
AA157="Missing Discount",
X157="Flagged for Review"),
"Warning",
"Clean"))</f>
        <v>Clean</v>
      </c>
      <c r="AD157">
        <f t="shared" si="25"/>
        <v>0.1</v>
      </c>
      <c r="AE157">
        <f>N157*O157*(1-AD157)</f>
        <v>7720.1640000000007</v>
      </c>
      <c r="AF157">
        <f>AE157-R157</f>
        <v>1839.1640000000007</v>
      </c>
      <c r="AG157" s="3">
        <f t="shared" si="26"/>
        <v>0.23822861794127695</v>
      </c>
      <c r="AH157" t="str">
        <f t="shared" si="27"/>
        <v>January</v>
      </c>
      <c r="AI157">
        <f t="shared" si="28"/>
        <v>2025</v>
      </c>
    </row>
    <row r="158" spans="1:35">
      <c r="A158" t="s">
        <v>592</v>
      </c>
      <c r="B158" s="2">
        <v>45743</v>
      </c>
      <c r="C158" s="2">
        <v>45743</v>
      </c>
      <c r="D158" t="s">
        <v>593</v>
      </c>
      <c r="E158" t="s">
        <v>85</v>
      </c>
      <c r="F158" t="s">
        <v>51</v>
      </c>
      <c r="G158" t="s">
        <v>52</v>
      </c>
      <c r="H158" t="s">
        <v>159</v>
      </c>
      <c r="I158" t="s">
        <v>160</v>
      </c>
      <c r="J158" t="s">
        <v>88</v>
      </c>
      <c r="K158" t="s">
        <v>289</v>
      </c>
      <c r="L158" t="s">
        <v>594</v>
      </c>
      <c r="M158" t="s">
        <v>45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46</v>
      </c>
      <c r="U158" t="s">
        <v>47</v>
      </c>
      <c r="V158" t="str">
        <f t="shared" si="19"/>
        <v>Valid</v>
      </c>
      <c r="W158">
        <f t="shared" si="20"/>
        <v>0</v>
      </c>
      <c r="Y158" t="str">
        <f t="shared" si="21"/>
        <v>OK</v>
      </c>
      <c r="Z158" t="str">
        <f t="shared" si="22"/>
        <v>OK</v>
      </c>
      <c r="AA158" t="str">
        <f t="shared" si="23"/>
        <v>OK</v>
      </c>
      <c r="AB158" t="str">
        <f t="shared" si="24"/>
        <v>Valid</v>
      </c>
      <c r="AC158" t="str">
        <f>IF(OR(AB158="Invalid Discount",V158="Invalid Shipping"),
"Invalid",
IF(OR(Y158="Missing Region",
Z158="Missing Ship Mode",
AA158="Missing Discount",
X158="Flagged for Review"),
"Warning",
"Clean"))</f>
        <v>Clean</v>
      </c>
      <c r="AD158">
        <f t="shared" si="25"/>
        <v>0.25</v>
      </c>
      <c r="AE158">
        <f>N158*O158*(1-AD158)</f>
        <v>12103.192500000001</v>
      </c>
      <c r="AF158">
        <f>AE158-R158</f>
        <v>5385.3225000000011</v>
      </c>
      <c r="AG158" s="3">
        <f t="shared" si="26"/>
        <v>0.44495057812225997</v>
      </c>
      <c r="AH158" t="str">
        <f t="shared" si="27"/>
        <v>March</v>
      </c>
      <c r="AI158">
        <f t="shared" si="28"/>
        <v>2025</v>
      </c>
    </row>
    <row r="159" spans="1:35">
      <c r="A159" t="s">
        <v>595</v>
      </c>
      <c r="B159" s="2">
        <v>45587</v>
      </c>
      <c r="C159" s="2">
        <v>45589</v>
      </c>
      <c r="D159" t="s">
        <v>596</v>
      </c>
      <c r="E159" t="s">
        <v>155</v>
      </c>
      <c r="F159" t="s">
        <v>51</v>
      </c>
      <c r="G159" t="s">
        <v>68</v>
      </c>
      <c r="H159" t="s">
        <v>98</v>
      </c>
      <c r="I159" t="s">
        <v>99</v>
      </c>
      <c r="J159" t="s">
        <v>55</v>
      </c>
      <c r="K159" t="s">
        <v>172</v>
      </c>
      <c r="L159" t="s">
        <v>597</v>
      </c>
      <c r="M159" t="s">
        <v>73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46</v>
      </c>
      <c r="U159" t="s">
        <v>47</v>
      </c>
      <c r="V159" t="str">
        <f t="shared" si="19"/>
        <v>Valid</v>
      </c>
      <c r="W159">
        <f t="shared" si="20"/>
        <v>2</v>
      </c>
      <c r="Y159" t="str">
        <f t="shared" si="21"/>
        <v>OK</v>
      </c>
      <c r="Z159" t="str">
        <f t="shared" si="22"/>
        <v>OK</v>
      </c>
      <c r="AA159" t="str">
        <f t="shared" si="23"/>
        <v>OK</v>
      </c>
      <c r="AB159" t="str">
        <f t="shared" si="24"/>
        <v>Valid</v>
      </c>
      <c r="AC159" t="str">
        <f>IF(OR(AB159="Invalid Discount",V159="Invalid Shipping"),
"Invalid",
IF(OR(Y159="Missing Region",
Z159="Missing Ship Mode",
AA159="Missing Discount",
X159="Flagged for Review"),
"Warning",
"Clean"))</f>
        <v>Clean</v>
      </c>
      <c r="AD159">
        <f t="shared" si="25"/>
        <v>0.15</v>
      </c>
      <c r="AE159">
        <f>N159*O159*(1-AD159)</f>
        <v>2335.3919999999998</v>
      </c>
      <c r="AF159">
        <f>AE159-R159</f>
        <v>869.24199999999973</v>
      </c>
      <c r="AG159" s="3">
        <f t="shared" si="26"/>
        <v>0.3722038955344541</v>
      </c>
      <c r="AH159" t="str">
        <f t="shared" si="27"/>
        <v>October</v>
      </c>
      <c r="AI159">
        <f t="shared" si="28"/>
        <v>2024</v>
      </c>
    </row>
    <row r="160" spans="1:35">
      <c r="A160" t="s">
        <v>598</v>
      </c>
      <c r="B160" s="2">
        <v>45544</v>
      </c>
      <c r="C160" s="2">
        <v>45546</v>
      </c>
      <c r="D160" t="s">
        <v>599</v>
      </c>
      <c r="E160" t="s">
        <v>93</v>
      </c>
      <c r="F160" t="s">
        <v>109</v>
      </c>
      <c r="G160" t="s">
        <v>68</v>
      </c>
      <c r="H160" t="s">
        <v>69</v>
      </c>
      <c r="I160" t="s">
        <v>70</v>
      </c>
      <c r="J160" t="s">
        <v>55</v>
      </c>
      <c r="K160" t="s">
        <v>172</v>
      </c>
      <c r="L160" t="s">
        <v>600</v>
      </c>
      <c r="M160" t="s">
        <v>64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46</v>
      </c>
      <c r="U160" t="s">
        <v>47</v>
      </c>
      <c r="V160" t="str">
        <f t="shared" si="19"/>
        <v>Valid</v>
      </c>
      <c r="W160">
        <f t="shared" si="20"/>
        <v>2</v>
      </c>
      <c r="Y160" t="str">
        <f t="shared" si="21"/>
        <v>OK</v>
      </c>
      <c r="Z160" t="str">
        <f t="shared" si="22"/>
        <v>OK</v>
      </c>
      <c r="AA160" t="str">
        <f t="shared" si="23"/>
        <v>OK</v>
      </c>
      <c r="AB160" t="str">
        <f t="shared" si="24"/>
        <v>Valid</v>
      </c>
      <c r="AC160" t="str">
        <f>IF(OR(AB160="Invalid Discount",V160="Invalid Shipping"),
"Invalid",
IF(OR(Y160="Missing Region",
Z160="Missing Ship Mode",
AA160="Missing Discount",
X160="Flagged for Review"),
"Warning",
"Clean"))</f>
        <v>Clean</v>
      </c>
      <c r="AD160">
        <f t="shared" si="25"/>
        <v>0.05</v>
      </c>
      <c r="AE160">
        <f>N160*O160*(1-AD160)</f>
        <v>3989.5629999999996</v>
      </c>
      <c r="AF160">
        <f>AE160-R160</f>
        <v>1608.1829999999995</v>
      </c>
      <c r="AG160" s="3">
        <f t="shared" si="26"/>
        <v>0.40309753223598666</v>
      </c>
      <c r="AH160" t="str">
        <f t="shared" si="27"/>
        <v>September</v>
      </c>
      <c r="AI160">
        <f t="shared" si="28"/>
        <v>2024</v>
      </c>
    </row>
    <row r="161" spans="1:35">
      <c r="A161" t="s">
        <v>601</v>
      </c>
      <c r="B161" s="2">
        <v>45687</v>
      </c>
      <c r="C161" s="2">
        <v>45692</v>
      </c>
      <c r="D161" t="s">
        <v>602</v>
      </c>
      <c r="E161" t="s">
        <v>128</v>
      </c>
      <c r="F161" t="s">
        <v>104</v>
      </c>
      <c r="G161" t="s">
        <v>39</v>
      </c>
      <c r="H161" t="s">
        <v>251</v>
      </c>
      <c r="I161" t="s">
        <v>252</v>
      </c>
      <c r="J161" t="s">
        <v>55</v>
      </c>
      <c r="K161" t="s">
        <v>80</v>
      </c>
      <c r="L161" t="s">
        <v>603</v>
      </c>
      <c r="M161" t="s">
        <v>58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125</v>
      </c>
      <c r="U161" t="s">
        <v>82</v>
      </c>
      <c r="V161" t="str">
        <f t="shared" si="19"/>
        <v>Valid</v>
      </c>
      <c r="W161">
        <f t="shared" si="20"/>
        <v>5</v>
      </c>
      <c r="Y161" t="str">
        <f t="shared" si="21"/>
        <v>OK</v>
      </c>
      <c r="Z161" t="str">
        <f t="shared" si="22"/>
        <v>OK</v>
      </c>
      <c r="AA161" t="str">
        <f t="shared" si="23"/>
        <v>OK</v>
      </c>
      <c r="AB161" t="str">
        <f t="shared" si="24"/>
        <v>Valid</v>
      </c>
      <c r="AC161" t="str">
        <f>IF(OR(AB161="Invalid Discount",V161="Invalid Shipping"),
"Invalid",
IF(OR(Y161="Missing Region",
Z161="Missing Ship Mode",
AA161="Missing Discount",
X161="Flagged for Review"),
"Warning",
"Clean"))</f>
        <v>Clean</v>
      </c>
      <c r="AD161">
        <f t="shared" si="25"/>
        <v>0.15</v>
      </c>
      <c r="AE161">
        <f>N161*O161*(1-AD161)</f>
        <v>33893.324999999997</v>
      </c>
      <c r="AF161">
        <f>AE161-R161</f>
        <v>8142.9749999999985</v>
      </c>
      <c r="AG161" s="3">
        <f t="shared" si="26"/>
        <v>0.24025305867748292</v>
      </c>
      <c r="AH161" t="str">
        <f t="shared" si="27"/>
        <v>January</v>
      </c>
      <c r="AI161">
        <f t="shared" si="28"/>
        <v>2025</v>
      </c>
    </row>
    <row r="162" spans="1:35">
      <c r="A162" t="s">
        <v>604</v>
      </c>
      <c r="B162" s="2">
        <v>45938</v>
      </c>
      <c r="C162" s="2">
        <v>45936</v>
      </c>
      <c r="D162" t="s">
        <v>605</v>
      </c>
      <c r="E162" t="s">
        <v>85</v>
      </c>
      <c r="F162" t="s">
        <v>51</v>
      </c>
      <c r="G162" t="s">
        <v>77</v>
      </c>
      <c r="H162" t="s">
        <v>78</v>
      </c>
      <c r="I162" t="s">
        <v>79</v>
      </c>
      <c r="J162" t="s">
        <v>42</v>
      </c>
      <c r="K162" t="s">
        <v>43</v>
      </c>
      <c r="L162" t="s">
        <v>606</v>
      </c>
      <c r="M162" t="s">
        <v>45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125</v>
      </c>
      <c r="U162" t="s">
        <v>82</v>
      </c>
      <c r="V162" t="str">
        <f t="shared" si="19"/>
        <v>Invalid Shipping</v>
      </c>
      <c r="W162">
        <f t="shared" si="20"/>
        <v>-2</v>
      </c>
      <c r="Y162" t="str">
        <f t="shared" si="21"/>
        <v>OK</v>
      </c>
      <c r="Z162" t="str">
        <f t="shared" si="22"/>
        <v>OK</v>
      </c>
      <c r="AA162" t="str">
        <f t="shared" si="23"/>
        <v>OK</v>
      </c>
      <c r="AB162" t="str">
        <f t="shared" si="24"/>
        <v>Valid</v>
      </c>
      <c r="AC162" t="str">
        <f>IF(OR(AB162="Invalid Discount",V162="Invalid Shipping"),
"Invalid",
IF(OR(Y162="Missing Region",
Z162="Missing Ship Mode",
AA162="Missing Discount",
X162="Flagged for Review"),
"Warning",
"Clean"))</f>
        <v>Invalid</v>
      </c>
      <c r="AD162">
        <f t="shared" si="25"/>
        <v>0.05</v>
      </c>
      <c r="AE162">
        <f>N162*O162*(1-AD162)</f>
        <v>4789.5960000000005</v>
      </c>
      <c r="AF162">
        <f>AE162-R162</f>
        <v>751.95600000000059</v>
      </c>
      <c r="AG162" s="3">
        <f t="shared" si="26"/>
        <v>0.1569977927157114</v>
      </c>
      <c r="AH162" t="str">
        <f t="shared" si="27"/>
        <v>October</v>
      </c>
      <c r="AI162">
        <f t="shared" si="28"/>
        <v>2025</v>
      </c>
    </row>
    <row r="163" spans="1:35">
      <c r="A163" t="s">
        <v>607</v>
      </c>
      <c r="B163" s="2">
        <v>45862</v>
      </c>
      <c r="C163" s="2">
        <v>45868</v>
      </c>
      <c r="D163" t="s">
        <v>608</v>
      </c>
      <c r="E163" t="s">
        <v>67</v>
      </c>
      <c r="F163" t="s">
        <v>38</v>
      </c>
      <c r="G163" t="s">
        <v>77</v>
      </c>
      <c r="H163" t="s">
        <v>40</v>
      </c>
      <c r="I163" t="s">
        <v>123</v>
      </c>
      <c r="J163" t="s">
        <v>42</v>
      </c>
      <c r="K163" t="s">
        <v>167</v>
      </c>
      <c r="L163" t="s">
        <v>609</v>
      </c>
      <c r="M163" t="s">
        <v>73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125</v>
      </c>
      <c r="U163" t="s">
        <v>82</v>
      </c>
      <c r="V163" t="str">
        <f t="shared" si="19"/>
        <v>Valid</v>
      </c>
      <c r="W163">
        <f t="shared" si="20"/>
        <v>6</v>
      </c>
      <c r="Y163" t="str">
        <f t="shared" si="21"/>
        <v>OK</v>
      </c>
      <c r="Z163" t="str">
        <f t="shared" si="22"/>
        <v>OK</v>
      </c>
      <c r="AA163" t="str">
        <f t="shared" si="23"/>
        <v>OK</v>
      </c>
      <c r="AB163" t="str">
        <f t="shared" si="24"/>
        <v>Valid</v>
      </c>
      <c r="AC163" t="str">
        <f>IF(OR(AB163="Invalid Discount",V163="Invalid Shipping"),
"Invalid",
IF(OR(Y163="Missing Region",
Z163="Missing Ship Mode",
AA163="Missing Discount",
X163="Flagged for Review"),
"Warning",
"Clean"))</f>
        <v>Clean</v>
      </c>
      <c r="AD163">
        <f t="shared" si="25"/>
        <v>0</v>
      </c>
      <c r="AE163">
        <f>N163*O163*(1-AD163)</f>
        <v>1643.41</v>
      </c>
      <c r="AF163">
        <f>AE163-R163</f>
        <v>736.0100000000001</v>
      </c>
      <c r="AG163" s="3">
        <f t="shared" si="26"/>
        <v>0.44785537388722235</v>
      </c>
      <c r="AH163" t="str">
        <f t="shared" si="27"/>
        <v>July</v>
      </c>
      <c r="AI163">
        <f t="shared" si="28"/>
        <v>2025</v>
      </c>
    </row>
    <row r="164" spans="1:35">
      <c r="A164" t="s">
        <v>610</v>
      </c>
      <c r="B164" s="2">
        <v>45360</v>
      </c>
      <c r="C164" s="2">
        <v>45365</v>
      </c>
      <c r="D164" t="s">
        <v>611</v>
      </c>
      <c r="E164" t="s">
        <v>93</v>
      </c>
      <c r="F164" t="s">
        <v>51</v>
      </c>
      <c r="G164" t="s">
        <v>77</v>
      </c>
      <c r="H164" t="s">
        <v>204</v>
      </c>
      <c r="I164" t="s">
        <v>205</v>
      </c>
      <c r="J164" t="s">
        <v>55</v>
      </c>
      <c r="K164" t="s">
        <v>71</v>
      </c>
      <c r="L164" t="s">
        <v>612</v>
      </c>
      <c r="M164" t="s">
        <v>45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125</v>
      </c>
      <c r="U164" t="s">
        <v>117</v>
      </c>
      <c r="V164" t="str">
        <f t="shared" si="19"/>
        <v>Valid</v>
      </c>
      <c r="W164">
        <f t="shared" si="20"/>
        <v>5</v>
      </c>
      <c r="Y164" t="str">
        <f t="shared" si="21"/>
        <v>OK</v>
      </c>
      <c r="Z164" t="str">
        <f t="shared" si="22"/>
        <v>OK</v>
      </c>
      <c r="AA164" t="str">
        <f t="shared" si="23"/>
        <v>OK</v>
      </c>
      <c r="AB164" t="str">
        <f t="shared" si="24"/>
        <v>Valid</v>
      </c>
      <c r="AC164" t="str">
        <f>IF(OR(AB164="Invalid Discount",V164="Invalid Shipping"),
"Invalid",
IF(OR(Y164="Missing Region",
Z164="Missing Ship Mode",
AA164="Missing Discount",
X164="Flagged for Review"),
"Warning",
"Clean"))</f>
        <v>Clean</v>
      </c>
      <c r="AD164">
        <f t="shared" si="25"/>
        <v>0</v>
      </c>
      <c r="AE164">
        <f>N164*O164*(1-AD164)</f>
        <v>35782.720000000001</v>
      </c>
      <c r="AF164">
        <f>AE164-R164</f>
        <v>9358.3100000000013</v>
      </c>
      <c r="AG164" s="3">
        <f t="shared" si="26"/>
        <v>0.2615315437171909</v>
      </c>
      <c r="AH164" t="str">
        <f t="shared" si="27"/>
        <v>March</v>
      </c>
      <c r="AI164">
        <f t="shared" si="28"/>
        <v>2024</v>
      </c>
    </row>
    <row r="165" spans="1:35">
      <c r="A165" t="s">
        <v>613</v>
      </c>
      <c r="B165" s="2">
        <v>45921</v>
      </c>
      <c r="C165" s="2">
        <v>45926</v>
      </c>
      <c r="D165" t="s">
        <v>614</v>
      </c>
      <c r="E165" t="s">
        <v>155</v>
      </c>
      <c r="F165" t="s">
        <v>109</v>
      </c>
      <c r="G165" t="s">
        <v>77</v>
      </c>
      <c r="H165" t="s">
        <v>194</v>
      </c>
      <c r="I165" t="s">
        <v>195</v>
      </c>
      <c r="J165" t="s">
        <v>55</v>
      </c>
      <c r="K165" t="s">
        <v>56</v>
      </c>
      <c r="L165" t="s">
        <v>615</v>
      </c>
      <c r="M165" t="s">
        <v>219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125</v>
      </c>
      <c r="U165" t="s">
        <v>117</v>
      </c>
      <c r="V165" t="str">
        <f t="shared" si="19"/>
        <v>Valid</v>
      </c>
      <c r="W165">
        <f t="shared" si="20"/>
        <v>5</v>
      </c>
      <c r="Y165" t="str">
        <f t="shared" si="21"/>
        <v>OK</v>
      </c>
      <c r="Z165" t="str">
        <f t="shared" si="22"/>
        <v>Missing Ship Mode</v>
      </c>
      <c r="AA165" t="str">
        <f t="shared" si="23"/>
        <v>OK</v>
      </c>
      <c r="AB165" t="str">
        <f t="shared" si="24"/>
        <v>Valid</v>
      </c>
      <c r="AC165" t="str">
        <f>IF(OR(AB165="Invalid Discount",V165="Invalid Shipping"),
"Invalid",
IF(OR(Y165="Missing Region",
Z165="Missing Ship Mode",
AA165="Missing Discount",
X165="Flagged for Review"),
"Warning",
"Clean"))</f>
        <v>Warning</v>
      </c>
      <c r="AD165">
        <f t="shared" si="25"/>
        <v>0.1</v>
      </c>
      <c r="AE165">
        <f>N165*O165*(1-AD165)</f>
        <v>15679.332</v>
      </c>
      <c r="AF165">
        <f>AE165-R165</f>
        <v>3201.5120000000006</v>
      </c>
      <c r="AG165" s="3">
        <f t="shared" si="26"/>
        <v>0.20418675999717339</v>
      </c>
      <c r="AH165" t="str">
        <f t="shared" si="27"/>
        <v>September</v>
      </c>
      <c r="AI165">
        <f t="shared" si="28"/>
        <v>2025</v>
      </c>
    </row>
    <row r="166" spans="1:35">
      <c r="A166" t="s">
        <v>616</v>
      </c>
      <c r="B166" s="2">
        <v>45909</v>
      </c>
      <c r="C166" s="2">
        <v>45914</v>
      </c>
      <c r="D166" t="s">
        <v>617</v>
      </c>
      <c r="E166" t="s">
        <v>132</v>
      </c>
      <c r="F166" t="s">
        <v>51</v>
      </c>
      <c r="G166" t="s">
        <v>52</v>
      </c>
      <c r="H166" t="s">
        <v>113</v>
      </c>
      <c r="I166" t="s">
        <v>114</v>
      </c>
      <c r="J166" t="s">
        <v>55</v>
      </c>
      <c r="K166" t="s">
        <v>172</v>
      </c>
      <c r="L166" t="s">
        <v>618</v>
      </c>
      <c r="M166" t="s">
        <v>45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46</v>
      </c>
      <c r="U166" t="s">
        <v>47</v>
      </c>
      <c r="V166" t="str">
        <f t="shared" si="19"/>
        <v>Valid</v>
      </c>
      <c r="W166">
        <f t="shared" si="20"/>
        <v>5</v>
      </c>
      <c r="Y166" t="str">
        <f t="shared" si="21"/>
        <v>OK</v>
      </c>
      <c r="Z166" t="str">
        <f t="shared" si="22"/>
        <v>OK</v>
      </c>
      <c r="AA166" t="str">
        <f t="shared" si="23"/>
        <v>OK</v>
      </c>
      <c r="AB166" t="str">
        <f t="shared" si="24"/>
        <v>Valid</v>
      </c>
      <c r="AC166" t="str">
        <f>IF(OR(AB166="Invalid Discount",V166="Invalid Shipping"),
"Invalid",
IF(OR(Y166="Missing Region",
Z166="Missing Ship Mode",
AA166="Missing Discount",
X166="Flagged for Review"),
"Warning",
"Clean"))</f>
        <v>Clean</v>
      </c>
      <c r="AD166">
        <f t="shared" si="25"/>
        <v>0.25</v>
      </c>
      <c r="AE166">
        <f>N166*O166*(1-AD166)</f>
        <v>2365.8150000000001</v>
      </c>
      <c r="AF166">
        <f>AE166-R166</f>
        <v>817.82500000000005</v>
      </c>
      <c r="AG166" s="3">
        <f t="shared" si="26"/>
        <v>0.34568425679945392</v>
      </c>
      <c r="AH166" t="str">
        <f t="shared" si="27"/>
        <v>September</v>
      </c>
      <c r="AI166">
        <f t="shared" si="28"/>
        <v>2025</v>
      </c>
    </row>
    <row r="167" spans="1:35">
      <c r="A167" t="s">
        <v>619</v>
      </c>
      <c r="B167" s="2">
        <v>45618</v>
      </c>
      <c r="C167" s="2">
        <v>45625</v>
      </c>
      <c r="D167" t="s">
        <v>620</v>
      </c>
      <c r="E167" t="s">
        <v>50</v>
      </c>
      <c r="F167" t="s">
        <v>109</v>
      </c>
      <c r="G167" t="s">
        <v>52</v>
      </c>
      <c r="H167" t="s">
        <v>159</v>
      </c>
      <c r="I167" t="s">
        <v>160</v>
      </c>
      <c r="J167" t="s">
        <v>55</v>
      </c>
      <c r="K167" t="s">
        <v>80</v>
      </c>
      <c r="L167" t="s">
        <v>621</v>
      </c>
      <c r="M167" t="s">
        <v>73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46</v>
      </c>
      <c r="U167" t="s">
        <v>47</v>
      </c>
      <c r="V167" t="str">
        <f t="shared" si="19"/>
        <v>Valid</v>
      </c>
      <c r="W167">
        <f t="shared" si="20"/>
        <v>7</v>
      </c>
      <c r="Y167" t="str">
        <f t="shared" si="21"/>
        <v>OK</v>
      </c>
      <c r="Z167" t="str">
        <f t="shared" si="22"/>
        <v>OK</v>
      </c>
      <c r="AA167" t="str">
        <f t="shared" si="23"/>
        <v>OK</v>
      </c>
      <c r="AB167" t="str">
        <f t="shared" si="24"/>
        <v>Valid</v>
      </c>
      <c r="AC167" t="str">
        <f>IF(OR(AB167="Invalid Discount",V167="Invalid Shipping"),
"Invalid",
IF(OR(Y167="Missing Region",
Z167="Missing Ship Mode",
AA167="Missing Discount",
X167="Flagged for Review"),
"Warning",
"Clean"))</f>
        <v>Clean</v>
      </c>
      <c r="AD167">
        <f t="shared" si="25"/>
        <v>0.25</v>
      </c>
      <c r="AE167">
        <f>N167*O167*(1-AD167)</f>
        <v>10268.969999999999</v>
      </c>
      <c r="AF167">
        <f>AE167-R167</f>
        <v>3798.0499999999993</v>
      </c>
      <c r="AG167" s="3">
        <f t="shared" si="26"/>
        <v>0.36985695741637181</v>
      </c>
      <c r="AH167" t="str">
        <f t="shared" si="27"/>
        <v>November</v>
      </c>
      <c r="AI167">
        <f t="shared" si="28"/>
        <v>2024</v>
      </c>
    </row>
    <row r="168" spans="1:35">
      <c r="A168" t="s">
        <v>622</v>
      </c>
      <c r="B168" s="2">
        <v>45708</v>
      </c>
      <c r="C168" s="2">
        <v>45714</v>
      </c>
      <c r="D168" t="s">
        <v>623</v>
      </c>
      <c r="E168" t="s">
        <v>37</v>
      </c>
      <c r="F168" t="s">
        <v>51</v>
      </c>
      <c r="G168" t="s">
        <v>77</v>
      </c>
      <c r="H168" t="s">
        <v>194</v>
      </c>
      <c r="I168" t="s">
        <v>195</v>
      </c>
      <c r="J168" t="s">
        <v>42</v>
      </c>
      <c r="K168" t="s">
        <v>105</v>
      </c>
      <c r="L168" t="s">
        <v>624</v>
      </c>
      <c r="M168" t="s">
        <v>64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46</v>
      </c>
      <c r="U168" t="s">
        <v>47</v>
      </c>
      <c r="V168" t="str">
        <f t="shared" si="19"/>
        <v>Valid</v>
      </c>
      <c r="W168">
        <f t="shared" si="20"/>
        <v>6</v>
      </c>
      <c r="Y168" t="str">
        <f t="shared" si="21"/>
        <v>OK</v>
      </c>
      <c r="Z168" t="str">
        <f t="shared" si="22"/>
        <v>OK</v>
      </c>
      <c r="AA168" t="str">
        <f t="shared" si="23"/>
        <v>OK</v>
      </c>
      <c r="AB168" t="str">
        <f t="shared" si="24"/>
        <v>Valid</v>
      </c>
      <c r="AC168" t="str">
        <f>IF(OR(AB168="Invalid Discount",V168="Invalid Shipping"),
"Invalid",
IF(OR(Y168="Missing Region",
Z168="Missing Ship Mode",
AA168="Missing Discount",
X168="Flagged for Review"),
"Warning",
"Clean"))</f>
        <v>Clean</v>
      </c>
      <c r="AD168">
        <f t="shared" si="25"/>
        <v>0.2</v>
      </c>
      <c r="AE168">
        <f>N168*O168*(1-AD168)</f>
        <v>2046.28</v>
      </c>
      <c r="AF168">
        <f>AE168-R168</f>
        <v>596.74</v>
      </c>
      <c r="AG168" s="3">
        <f t="shared" si="26"/>
        <v>0.29162186992982386</v>
      </c>
      <c r="AH168" t="str">
        <f t="shared" si="27"/>
        <v>February</v>
      </c>
      <c r="AI168">
        <f t="shared" si="28"/>
        <v>2025</v>
      </c>
    </row>
    <row r="169" spans="1:35">
      <c r="A169" t="s">
        <v>625</v>
      </c>
      <c r="B169" s="2">
        <v>45887</v>
      </c>
      <c r="C169" s="2">
        <v>45887</v>
      </c>
      <c r="D169" t="s">
        <v>626</v>
      </c>
      <c r="E169" t="s">
        <v>67</v>
      </c>
      <c r="F169" t="s">
        <v>109</v>
      </c>
      <c r="G169" t="s">
        <v>68</v>
      </c>
      <c r="H169" t="s">
        <v>189</v>
      </c>
      <c r="I169" t="s">
        <v>190</v>
      </c>
      <c r="J169" t="s">
        <v>42</v>
      </c>
      <c r="K169" t="s">
        <v>138</v>
      </c>
      <c r="L169" t="s">
        <v>627</v>
      </c>
      <c r="M169" t="s">
        <v>64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46</v>
      </c>
      <c r="U169" t="s">
        <v>117</v>
      </c>
      <c r="V169" t="str">
        <f t="shared" si="19"/>
        <v>Valid</v>
      </c>
      <c r="W169">
        <f t="shared" si="20"/>
        <v>0</v>
      </c>
      <c r="Y169" t="str">
        <f t="shared" si="21"/>
        <v>OK</v>
      </c>
      <c r="Z169" t="str">
        <f t="shared" si="22"/>
        <v>OK</v>
      </c>
      <c r="AA169" t="str">
        <f t="shared" si="23"/>
        <v>OK</v>
      </c>
      <c r="AB169" t="str">
        <f t="shared" si="24"/>
        <v>Valid</v>
      </c>
      <c r="AC169" t="str">
        <f>IF(OR(AB169="Invalid Discount",V169="Invalid Shipping"),
"Invalid",
IF(OR(Y169="Missing Region",
Z169="Missing Ship Mode",
AA169="Missing Discount",
X169="Flagged for Review"),
"Warning",
"Clean"))</f>
        <v>Clean</v>
      </c>
      <c r="AD169">
        <f t="shared" si="25"/>
        <v>0.15</v>
      </c>
      <c r="AE169">
        <f>N169*O169*(1-AD169)</f>
        <v>23186.6145</v>
      </c>
      <c r="AF169">
        <f>AE169-R169</f>
        <v>5280.0744999999988</v>
      </c>
      <c r="AG169" s="3">
        <f t="shared" si="26"/>
        <v>0.22772080417345961</v>
      </c>
      <c r="AH169" t="str">
        <f t="shared" si="27"/>
        <v>August</v>
      </c>
      <c r="AI169">
        <f t="shared" si="28"/>
        <v>2025</v>
      </c>
    </row>
    <row r="170" spans="1:35">
      <c r="A170" t="s">
        <v>628</v>
      </c>
      <c r="B170" s="2">
        <v>45677</v>
      </c>
      <c r="C170" s="2">
        <v>45680</v>
      </c>
      <c r="D170" t="s">
        <v>629</v>
      </c>
      <c r="E170" t="s">
        <v>279</v>
      </c>
      <c r="F170" t="s">
        <v>38</v>
      </c>
      <c r="G170" t="s">
        <v>77</v>
      </c>
      <c r="H170" t="s">
        <v>78</v>
      </c>
      <c r="I170" t="s">
        <v>79</v>
      </c>
      <c r="J170" t="s">
        <v>88</v>
      </c>
      <c r="K170" t="s">
        <v>89</v>
      </c>
      <c r="L170" t="s">
        <v>630</v>
      </c>
      <c r="M170" t="s">
        <v>58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46</v>
      </c>
      <c r="U170" t="s">
        <v>82</v>
      </c>
      <c r="V170" t="str">
        <f t="shared" si="19"/>
        <v>Valid</v>
      </c>
      <c r="W170">
        <f t="shared" si="20"/>
        <v>3</v>
      </c>
      <c r="Y170" t="str">
        <f t="shared" si="21"/>
        <v>OK</v>
      </c>
      <c r="Z170" t="str">
        <f t="shared" si="22"/>
        <v>OK</v>
      </c>
      <c r="AA170" t="str">
        <f t="shared" si="23"/>
        <v>OK</v>
      </c>
      <c r="AB170" t="str">
        <f t="shared" si="24"/>
        <v>Valid</v>
      </c>
      <c r="AC170" t="str">
        <f>IF(OR(AB170="Invalid Discount",V170="Invalid Shipping"),
"Invalid",
IF(OR(Y170="Missing Region",
Z170="Missing Ship Mode",
AA170="Missing Discount",
X170="Flagged for Review"),
"Warning",
"Clean"))</f>
        <v>Clean</v>
      </c>
      <c r="AD170">
        <f t="shared" si="25"/>
        <v>0.2</v>
      </c>
      <c r="AE170">
        <f>N170*O170*(1-AD170)</f>
        <v>2557.08</v>
      </c>
      <c r="AF170">
        <f>AE170-R170</f>
        <v>531.38999999999987</v>
      </c>
      <c r="AG170" s="3">
        <f t="shared" si="26"/>
        <v>0.2078112534609789</v>
      </c>
      <c r="AH170" t="str">
        <f t="shared" si="27"/>
        <v>January</v>
      </c>
      <c r="AI170">
        <f t="shared" si="28"/>
        <v>2025</v>
      </c>
    </row>
    <row r="171" spans="1:35">
      <c r="A171" t="s">
        <v>631</v>
      </c>
      <c r="B171" s="2">
        <v>45913</v>
      </c>
      <c r="C171" s="2">
        <v>45913</v>
      </c>
      <c r="D171" t="s">
        <v>632</v>
      </c>
      <c r="E171" t="s">
        <v>176</v>
      </c>
      <c r="F171" t="s">
        <v>38</v>
      </c>
      <c r="G171" t="s">
        <v>52</v>
      </c>
      <c r="H171" t="s">
        <v>180</v>
      </c>
      <c r="I171" t="s">
        <v>181</v>
      </c>
      <c r="J171" t="s">
        <v>42</v>
      </c>
      <c r="K171" t="s">
        <v>62</v>
      </c>
      <c r="L171" t="s">
        <v>633</v>
      </c>
      <c r="M171" t="s">
        <v>73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125</v>
      </c>
      <c r="U171" t="s">
        <v>117</v>
      </c>
      <c r="V171" t="str">
        <f t="shared" si="19"/>
        <v>Valid</v>
      </c>
      <c r="W171">
        <f t="shared" si="20"/>
        <v>0</v>
      </c>
      <c r="Y171" t="str">
        <f t="shared" si="21"/>
        <v>OK</v>
      </c>
      <c r="Z171" t="str">
        <f t="shared" si="22"/>
        <v>OK</v>
      </c>
      <c r="AA171" t="str">
        <f t="shared" si="23"/>
        <v>OK</v>
      </c>
      <c r="AB171" t="str">
        <f t="shared" si="24"/>
        <v>Valid</v>
      </c>
      <c r="AC171" t="str">
        <f>IF(OR(AB171="Invalid Discount",V171="Invalid Shipping"),
"Invalid",
IF(OR(Y171="Missing Region",
Z171="Missing Ship Mode",
AA171="Missing Discount",
X171="Flagged for Review"),
"Warning",
"Clean"))</f>
        <v>Clean</v>
      </c>
      <c r="AD171">
        <f t="shared" si="25"/>
        <v>0.05</v>
      </c>
      <c r="AE171">
        <f>N171*O171*(1-AD171)</f>
        <v>5577.6399999999994</v>
      </c>
      <c r="AF171">
        <f>AE171-R171</f>
        <v>2036.3499999999995</v>
      </c>
      <c r="AG171" s="3">
        <f t="shared" si="26"/>
        <v>0.36509168752375548</v>
      </c>
      <c r="AH171" t="str">
        <f t="shared" si="27"/>
        <v>September</v>
      </c>
      <c r="AI171">
        <f t="shared" si="28"/>
        <v>2025</v>
      </c>
    </row>
    <row r="172" spans="1:35">
      <c r="A172" t="s">
        <v>634</v>
      </c>
      <c r="B172" s="2">
        <v>45907</v>
      </c>
      <c r="C172" s="2">
        <v>45915</v>
      </c>
      <c r="D172" t="s">
        <v>635</v>
      </c>
      <c r="E172" t="s">
        <v>155</v>
      </c>
      <c r="F172" t="s">
        <v>104</v>
      </c>
      <c r="G172" t="s">
        <v>52</v>
      </c>
      <c r="H172" t="s">
        <v>159</v>
      </c>
      <c r="I172" t="s">
        <v>160</v>
      </c>
      <c r="J172" t="s">
        <v>88</v>
      </c>
      <c r="K172" t="s">
        <v>94</v>
      </c>
      <c r="L172" t="s">
        <v>636</v>
      </c>
      <c r="M172" t="s">
        <v>73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46</v>
      </c>
      <c r="U172" t="s">
        <v>47</v>
      </c>
      <c r="V172" t="str">
        <f t="shared" si="19"/>
        <v>Valid</v>
      </c>
      <c r="W172">
        <f t="shared" si="20"/>
        <v>8</v>
      </c>
      <c r="X172" t="s">
        <v>398</v>
      </c>
      <c r="Y172" t="str">
        <f t="shared" si="21"/>
        <v>OK</v>
      </c>
      <c r="Z172" t="str">
        <f t="shared" si="22"/>
        <v>OK</v>
      </c>
      <c r="AA172" t="str">
        <f t="shared" si="23"/>
        <v>OK</v>
      </c>
      <c r="AB172" t="str">
        <f t="shared" si="24"/>
        <v>Valid</v>
      </c>
      <c r="AC172" t="str">
        <f>IF(OR(AB172="Invalid Discount",V172="Invalid Shipping"),
"Invalid",
IF(OR(Y172="Missing Region",
Z172="Missing Ship Mode",
AA172="Missing Discount",
X172="Flagged for Review"),
"Warning",
"Clean"))</f>
        <v>Warning</v>
      </c>
      <c r="AD172">
        <f t="shared" si="25"/>
        <v>0</v>
      </c>
      <c r="AE172">
        <f>N172*O172*(1-AD172)</f>
        <v>5133.96</v>
      </c>
      <c r="AF172">
        <f>AE172-R172</f>
        <v>1203.96</v>
      </c>
      <c r="AG172" s="3">
        <f t="shared" si="26"/>
        <v>0.23450903396208775</v>
      </c>
      <c r="AH172" t="str">
        <f t="shared" si="27"/>
        <v>September</v>
      </c>
      <c r="AI172">
        <f t="shared" si="28"/>
        <v>2025</v>
      </c>
    </row>
    <row r="173" spans="1:35">
      <c r="A173" t="s">
        <v>637</v>
      </c>
      <c r="B173" s="2">
        <v>45711</v>
      </c>
      <c r="C173" s="2">
        <v>45713</v>
      </c>
      <c r="D173" t="s">
        <v>638</v>
      </c>
      <c r="E173" t="s">
        <v>37</v>
      </c>
      <c r="F173" t="s">
        <v>104</v>
      </c>
      <c r="G173" t="s">
        <v>52</v>
      </c>
      <c r="H173" t="s">
        <v>159</v>
      </c>
      <c r="I173" t="s">
        <v>160</v>
      </c>
      <c r="J173" t="s">
        <v>42</v>
      </c>
      <c r="K173" t="s">
        <v>105</v>
      </c>
      <c r="L173" t="s">
        <v>639</v>
      </c>
      <c r="M173" t="s">
        <v>58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46</v>
      </c>
      <c r="U173" t="s">
        <v>47</v>
      </c>
      <c r="V173" t="str">
        <f t="shared" si="19"/>
        <v>Valid</v>
      </c>
      <c r="W173">
        <f t="shared" si="20"/>
        <v>2</v>
      </c>
      <c r="Y173" t="str">
        <f t="shared" si="21"/>
        <v>OK</v>
      </c>
      <c r="Z173" t="str">
        <f t="shared" si="22"/>
        <v>OK</v>
      </c>
      <c r="AA173" t="str">
        <f t="shared" si="23"/>
        <v>OK</v>
      </c>
      <c r="AB173" t="str">
        <f t="shared" si="24"/>
        <v>Valid</v>
      </c>
      <c r="AC173" t="str">
        <f>IF(OR(AB173="Invalid Discount",V173="Invalid Shipping"),
"Invalid",
IF(OR(Y173="Missing Region",
Z173="Missing Ship Mode",
AA173="Missing Discount",
X173="Flagged for Review"),
"Warning",
"Clean"))</f>
        <v>Clean</v>
      </c>
      <c r="AD173">
        <f t="shared" si="25"/>
        <v>0.25</v>
      </c>
      <c r="AE173">
        <f>N173*O173*(1-AD173)</f>
        <v>15923.512500000001</v>
      </c>
      <c r="AF173">
        <f>AE173-R173</f>
        <v>4631.7125000000015</v>
      </c>
      <c r="AG173" s="3">
        <f t="shared" si="26"/>
        <v>0.29087253832971849</v>
      </c>
      <c r="AH173" t="str">
        <f t="shared" si="27"/>
        <v>February</v>
      </c>
      <c r="AI173">
        <f t="shared" si="28"/>
        <v>2025</v>
      </c>
    </row>
    <row r="174" spans="1:35">
      <c r="A174" t="s">
        <v>640</v>
      </c>
      <c r="B174" s="2">
        <v>45871</v>
      </c>
      <c r="C174" s="2">
        <v>45879</v>
      </c>
      <c r="D174" t="s">
        <v>641</v>
      </c>
      <c r="E174" t="s">
        <v>37</v>
      </c>
      <c r="F174" t="s">
        <v>104</v>
      </c>
      <c r="G174" t="s">
        <v>39</v>
      </c>
      <c r="H174" t="s">
        <v>365</v>
      </c>
      <c r="I174" t="s">
        <v>366</v>
      </c>
      <c r="J174" t="s">
        <v>55</v>
      </c>
      <c r="K174" t="s">
        <v>71</v>
      </c>
      <c r="L174" t="s">
        <v>642</v>
      </c>
      <c r="M174" t="s">
        <v>58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116</v>
      </c>
      <c r="U174" t="s">
        <v>117</v>
      </c>
      <c r="V174" t="str">
        <f t="shared" si="19"/>
        <v>Valid</v>
      </c>
      <c r="W174">
        <f t="shared" si="20"/>
        <v>8</v>
      </c>
      <c r="Y174" t="str">
        <f t="shared" si="21"/>
        <v>OK</v>
      </c>
      <c r="Z174" t="str">
        <f t="shared" si="22"/>
        <v>OK</v>
      </c>
      <c r="AA174" t="str">
        <f t="shared" si="23"/>
        <v>OK</v>
      </c>
      <c r="AB174" t="str">
        <f t="shared" si="24"/>
        <v>Valid</v>
      </c>
      <c r="AC174" t="str">
        <f>IF(OR(AB174="Invalid Discount",V174="Invalid Shipping"),
"Invalid",
IF(OR(Y174="Missing Region",
Z174="Missing Ship Mode",
AA174="Missing Discount",
X174="Flagged for Review"),
"Warning",
"Clean"))</f>
        <v>Clean</v>
      </c>
      <c r="AD174">
        <f t="shared" si="25"/>
        <v>0.1</v>
      </c>
      <c r="AE174">
        <f>N174*O174*(1-AD174)</f>
        <v>23997.221999999998</v>
      </c>
      <c r="AF174">
        <f>AE174-R174</f>
        <v>7862.5919999999987</v>
      </c>
      <c r="AG174" s="3">
        <f t="shared" si="26"/>
        <v>0.32764592501582057</v>
      </c>
      <c r="AH174" t="str">
        <f t="shared" si="27"/>
        <v>August</v>
      </c>
      <c r="AI174">
        <f t="shared" si="28"/>
        <v>2025</v>
      </c>
    </row>
    <row r="175" spans="1:35">
      <c r="A175" t="s">
        <v>643</v>
      </c>
      <c r="B175" s="2">
        <v>45414</v>
      </c>
      <c r="C175" s="2">
        <v>45420</v>
      </c>
      <c r="D175" t="s">
        <v>644</v>
      </c>
      <c r="E175" t="s">
        <v>128</v>
      </c>
      <c r="F175" t="s">
        <v>109</v>
      </c>
      <c r="G175" t="s">
        <v>39</v>
      </c>
      <c r="H175" t="s">
        <v>136</v>
      </c>
      <c r="I175" t="s">
        <v>137</v>
      </c>
      <c r="J175" t="s">
        <v>88</v>
      </c>
      <c r="K175" t="s">
        <v>94</v>
      </c>
      <c r="L175" t="s">
        <v>645</v>
      </c>
      <c r="M175" t="s">
        <v>45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46</v>
      </c>
      <c r="U175" t="s">
        <v>47</v>
      </c>
      <c r="V175" t="str">
        <f t="shared" si="19"/>
        <v>Valid</v>
      </c>
      <c r="W175">
        <f t="shared" si="20"/>
        <v>6</v>
      </c>
      <c r="Y175" t="str">
        <f t="shared" si="21"/>
        <v>OK</v>
      </c>
      <c r="Z175" t="str">
        <f t="shared" si="22"/>
        <v>OK</v>
      </c>
      <c r="AA175" t="str">
        <f t="shared" si="23"/>
        <v>OK</v>
      </c>
      <c r="AB175" t="str">
        <f t="shared" si="24"/>
        <v>Valid</v>
      </c>
      <c r="AC175" t="str">
        <f>IF(OR(AB175="Invalid Discount",V175="Invalid Shipping"),
"Invalid",
IF(OR(Y175="Missing Region",
Z175="Missing Ship Mode",
AA175="Missing Discount",
X175="Flagged for Review"),
"Warning",
"Clean"))</f>
        <v>Clean</v>
      </c>
      <c r="AD175">
        <f t="shared" si="25"/>
        <v>0.25</v>
      </c>
      <c r="AE175">
        <f>N175*O175*(1-AD175)</f>
        <v>1734.1875</v>
      </c>
      <c r="AF175">
        <f>AE175-R175</f>
        <v>348.11750000000006</v>
      </c>
      <c r="AG175" s="3">
        <f t="shared" si="26"/>
        <v>0.20073809781237614</v>
      </c>
      <c r="AH175" t="str">
        <f t="shared" si="27"/>
        <v>May</v>
      </c>
      <c r="AI175">
        <f t="shared" si="28"/>
        <v>2024</v>
      </c>
    </row>
    <row r="176" spans="1:35">
      <c r="A176" t="s">
        <v>646</v>
      </c>
      <c r="B176" s="2">
        <v>45928</v>
      </c>
      <c r="C176" s="2">
        <v>45934</v>
      </c>
      <c r="D176" t="s">
        <v>647</v>
      </c>
      <c r="E176" t="s">
        <v>37</v>
      </c>
      <c r="F176" t="s">
        <v>51</v>
      </c>
      <c r="G176" t="s">
        <v>68</v>
      </c>
      <c r="H176" t="s">
        <v>189</v>
      </c>
      <c r="I176" t="s">
        <v>190</v>
      </c>
      <c r="J176" t="s">
        <v>55</v>
      </c>
      <c r="K176" t="s">
        <v>172</v>
      </c>
      <c r="L176" t="s">
        <v>648</v>
      </c>
      <c r="M176" t="s">
        <v>64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125</v>
      </c>
      <c r="U176" t="s">
        <v>117</v>
      </c>
      <c r="V176" t="str">
        <f t="shared" si="19"/>
        <v>Valid</v>
      </c>
      <c r="W176">
        <f t="shared" si="20"/>
        <v>6</v>
      </c>
      <c r="Y176" t="str">
        <f t="shared" si="21"/>
        <v>OK</v>
      </c>
      <c r="Z176" t="str">
        <f t="shared" si="22"/>
        <v>OK</v>
      </c>
      <c r="AA176" t="str">
        <f t="shared" si="23"/>
        <v>OK</v>
      </c>
      <c r="AB176" t="str">
        <f t="shared" si="24"/>
        <v>Valid</v>
      </c>
      <c r="AC176" t="str">
        <f>IF(OR(AB176="Invalid Discount",V176="Invalid Shipping"),
"Invalid",
IF(OR(Y176="Missing Region",
Z176="Missing Ship Mode",
AA176="Missing Discount",
X176="Flagged for Review"),
"Warning",
"Clean"))</f>
        <v>Clean</v>
      </c>
      <c r="AD176">
        <f t="shared" si="25"/>
        <v>0.15</v>
      </c>
      <c r="AE176">
        <f>N176*O176*(1-AD176)</f>
        <v>8264.7029999999995</v>
      </c>
      <c r="AF176">
        <f>AE176-R176</f>
        <v>3495.9529999999995</v>
      </c>
      <c r="AG176" s="3">
        <f t="shared" si="26"/>
        <v>0.42299801940856191</v>
      </c>
      <c r="AH176" t="str">
        <f t="shared" si="27"/>
        <v>September</v>
      </c>
      <c r="AI176">
        <f t="shared" si="28"/>
        <v>2025</v>
      </c>
    </row>
    <row r="177" spans="1:35">
      <c r="A177" t="s">
        <v>649</v>
      </c>
      <c r="B177" s="2">
        <v>45318</v>
      </c>
      <c r="C177" s="2">
        <v>45325</v>
      </c>
      <c r="D177" t="s">
        <v>650</v>
      </c>
      <c r="E177" t="s">
        <v>67</v>
      </c>
      <c r="F177" t="s">
        <v>51</v>
      </c>
      <c r="G177" t="s">
        <v>52</v>
      </c>
      <c r="H177" t="s">
        <v>159</v>
      </c>
      <c r="I177" t="s">
        <v>160</v>
      </c>
      <c r="J177" t="s">
        <v>88</v>
      </c>
      <c r="K177" t="s">
        <v>289</v>
      </c>
      <c r="L177" t="s">
        <v>651</v>
      </c>
      <c r="M177" t="s">
        <v>58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46</v>
      </c>
      <c r="U177" t="s">
        <v>117</v>
      </c>
      <c r="V177" t="str">
        <f t="shared" si="19"/>
        <v>Valid</v>
      </c>
      <c r="W177">
        <f t="shared" si="20"/>
        <v>7</v>
      </c>
      <c r="Y177" t="str">
        <f t="shared" si="21"/>
        <v>OK</v>
      </c>
      <c r="Z177" t="str">
        <f t="shared" si="22"/>
        <v>OK</v>
      </c>
      <c r="AA177" t="str">
        <f t="shared" si="23"/>
        <v>OK</v>
      </c>
      <c r="AB177" t="str">
        <f t="shared" si="24"/>
        <v>Valid</v>
      </c>
      <c r="AC177" t="str">
        <f>IF(OR(AB177="Invalid Discount",V177="Invalid Shipping"),
"Invalid",
IF(OR(Y177="Missing Region",
Z177="Missing Ship Mode",
AA177="Missing Discount",
X177="Flagged for Review"),
"Warning",
"Clean"))</f>
        <v>Clean</v>
      </c>
      <c r="AD177">
        <f t="shared" si="25"/>
        <v>0.15</v>
      </c>
      <c r="AE177">
        <f>N177*O177*(1-AD177)</f>
        <v>15906.849000000002</v>
      </c>
      <c r="AF177">
        <f>AE177-R177</f>
        <v>4892.3890000000029</v>
      </c>
      <c r="AG177" s="3">
        <f t="shared" si="26"/>
        <v>0.30756493633654297</v>
      </c>
      <c r="AH177" t="str">
        <f t="shared" si="27"/>
        <v>January</v>
      </c>
      <c r="AI177">
        <f t="shared" si="28"/>
        <v>2024</v>
      </c>
    </row>
    <row r="178" spans="1:35">
      <c r="A178" t="s">
        <v>652</v>
      </c>
      <c r="B178" s="2">
        <v>45734</v>
      </c>
      <c r="C178" s="2">
        <v>45742</v>
      </c>
      <c r="D178" t="s">
        <v>653</v>
      </c>
      <c r="E178" t="s">
        <v>85</v>
      </c>
      <c r="F178" t="s">
        <v>104</v>
      </c>
      <c r="G178" t="s">
        <v>52</v>
      </c>
      <c r="H178" t="s">
        <v>243</v>
      </c>
      <c r="I178" t="s">
        <v>244</v>
      </c>
      <c r="J178" t="s">
        <v>55</v>
      </c>
      <c r="K178" t="s">
        <v>172</v>
      </c>
      <c r="L178" t="s">
        <v>654</v>
      </c>
      <c r="M178" t="s">
        <v>73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46</v>
      </c>
      <c r="U178" t="s">
        <v>47</v>
      </c>
      <c r="V178" t="str">
        <f t="shared" si="19"/>
        <v>Valid</v>
      </c>
      <c r="W178">
        <f t="shared" si="20"/>
        <v>8</v>
      </c>
      <c r="Y178" t="str">
        <f t="shared" si="21"/>
        <v>OK</v>
      </c>
      <c r="Z178" t="str">
        <f t="shared" si="22"/>
        <v>OK</v>
      </c>
      <c r="AA178" t="str">
        <f t="shared" si="23"/>
        <v>OK</v>
      </c>
      <c r="AB178" t="str">
        <f t="shared" si="24"/>
        <v>Valid</v>
      </c>
      <c r="AC178" t="str">
        <f>IF(OR(AB178="Invalid Discount",V178="Invalid Shipping"),
"Invalid",
IF(OR(Y178="Missing Region",
Z178="Missing Ship Mode",
AA178="Missing Discount",
X178="Flagged for Review"),
"Warning",
"Clean"))</f>
        <v>Clean</v>
      </c>
      <c r="AD178">
        <f t="shared" si="25"/>
        <v>0.15</v>
      </c>
      <c r="AE178">
        <f>N178*O178*(1-AD178)</f>
        <v>24229.011999999999</v>
      </c>
      <c r="AF178">
        <f>AE178-R178</f>
        <v>10318.371999999999</v>
      </c>
      <c r="AG178" s="3">
        <f t="shared" si="26"/>
        <v>0.42586845885420338</v>
      </c>
      <c r="AH178" t="str">
        <f t="shared" si="27"/>
        <v>March</v>
      </c>
      <c r="AI178">
        <f t="shared" si="28"/>
        <v>2025</v>
      </c>
    </row>
    <row r="179" spans="1:35">
      <c r="A179" t="s">
        <v>655</v>
      </c>
      <c r="B179" s="2">
        <v>45444</v>
      </c>
      <c r="C179" s="2">
        <v>45446</v>
      </c>
      <c r="D179" t="s">
        <v>656</v>
      </c>
      <c r="E179" t="s">
        <v>146</v>
      </c>
      <c r="F179" t="s">
        <v>109</v>
      </c>
      <c r="G179" t="s">
        <v>219</v>
      </c>
      <c r="H179" t="s">
        <v>159</v>
      </c>
      <c r="I179" t="s">
        <v>160</v>
      </c>
      <c r="J179" t="s">
        <v>42</v>
      </c>
      <c r="K179" t="s">
        <v>62</v>
      </c>
      <c r="L179" t="s">
        <v>657</v>
      </c>
      <c r="M179" t="s">
        <v>58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46</v>
      </c>
      <c r="U179" t="s">
        <v>47</v>
      </c>
      <c r="V179" t="str">
        <f t="shared" si="19"/>
        <v>Valid</v>
      </c>
      <c r="W179">
        <f t="shared" si="20"/>
        <v>2</v>
      </c>
      <c r="Y179" t="str">
        <f t="shared" si="21"/>
        <v>Missing Region</v>
      </c>
      <c r="Z179" t="str">
        <f t="shared" si="22"/>
        <v>OK</v>
      </c>
      <c r="AA179" t="str">
        <f t="shared" si="23"/>
        <v>OK</v>
      </c>
      <c r="AB179" t="str">
        <f t="shared" si="24"/>
        <v>Valid</v>
      </c>
      <c r="AC179" t="str">
        <f>IF(OR(AB179="Invalid Discount",V179="Invalid Shipping"),
"Invalid",
IF(OR(Y179="Missing Region",
Z179="Missing Ship Mode",
AA179="Missing Discount",
X179="Flagged for Review"),
"Warning",
"Clean"))</f>
        <v>Warning</v>
      </c>
      <c r="AD179">
        <f t="shared" si="25"/>
        <v>0</v>
      </c>
      <c r="AE179">
        <f>N179*O179*(1-AD179)</f>
        <v>31039.599999999999</v>
      </c>
      <c r="AF179">
        <f>AE179-R179</f>
        <v>10172.879999999997</v>
      </c>
      <c r="AG179" s="3">
        <f t="shared" si="26"/>
        <v>0.32773875952009685</v>
      </c>
      <c r="AH179" t="str">
        <f t="shared" si="27"/>
        <v>June</v>
      </c>
      <c r="AI179">
        <f t="shared" si="28"/>
        <v>2024</v>
      </c>
    </row>
    <row r="180" spans="1:35">
      <c r="A180" t="s">
        <v>658</v>
      </c>
      <c r="B180" s="2">
        <v>45565</v>
      </c>
      <c r="C180" s="2">
        <v>45565</v>
      </c>
      <c r="D180" t="s">
        <v>659</v>
      </c>
      <c r="E180" t="s">
        <v>61</v>
      </c>
      <c r="F180" t="s">
        <v>104</v>
      </c>
      <c r="G180" t="s">
        <v>68</v>
      </c>
      <c r="H180" t="s">
        <v>69</v>
      </c>
      <c r="I180" t="s">
        <v>70</v>
      </c>
      <c r="J180" t="s">
        <v>42</v>
      </c>
      <c r="K180" t="s">
        <v>62</v>
      </c>
      <c r="L180" t="s">
        <v>660</v>
      </c>
      <c r="M180" t="s">
        <v>73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46</v>
      </c>
      <c r="U180" t="s">
        <v>47</v>
      </c>
      <c r="V180" t="str">
        <f t="shared" si="19"/>
        <v>Valid</v>
      </c>
      <c r="W180">
        <f t="shared" si="20"/>
        <v>0</v>
      </c>
      <c r="Y180" t="str">
        <f t="shared" si="21"/>
        <v>OK</v>
      </c>
      <c r="Z180" t="str">
        <f t="shared" si="22"/>
        <v>OK</v>
      </c>
      <c r="AA180" t="str">
        <f t="shared" si="23"/>
        <v>OK</v>
      </c>
      <c r="AB180" t="str">
        <f t="shared" si="24"/>
        <v>Valid</v>
      </c>
      <c r="AC180" t="str">
        <f>IF(OR(AB180="Invalid Discount",V180="Invalid Shipping"),
"Invalid",
IF(OR(Y180="Missing Region",
Z180="Missing Ship Mode",
AA180="Missing Discount",
X180="Flagged for Review"),
"Warning",
"Clean"))</f>
        <v>Clean</v>
      </c>
      <c r="AD180">
        <f t="shared" si="25"/>
        <v>0</v>
      </c>
      <c r="AE180">
        <f>N180*O180*(1-AD180)</f>
        <v>13126.96</v>
      </c>
      <c r="AF180">
        <f>AE180-R180</f>
        <v>2394.5199999999986</v>
      </c>
      <c r="AG180" s="3">
        <f t="shared" si="26"/>
        <v>0.18241237879905162</v>
      </c>
      <c r="AH180" t="str">
        <f t="shared" si="27"/>
        <v>September</v>
      </c>
      <c r="AI180">
        <f t="shared" si="28"/>
        <v>2024</v>
      </c>
    </row>
    <row r="181" spans="1:35">
      <c r="A181" t="s">
        <v>661</v>
      </c>
      <c r="B181" s="2">
        <v>45366</v>
      </c>
      <c r="C181" s="2">
        <v>45370</v>
      </c>
      <c r="D181" t="s">
        <v>662</v>
      </c>
      <c r="E181" t="s">
        <v>76</v>
      </c>
      <c r="F181" t="s">
        <v>51</v>
      </c>
      <c r="G181" t="s">
        <v>68</v>
      </c>
      <c r="H181" t="s">
        <v>262</v>
      </c>
      <c r="I181" t="s">
        <v>263</v>
      </c>
      <c r="J181" t="s">
        <v>55</v>
      </c>
      <c r="K181" t="s">
        <v>71</v>
      </c>
      <c r="L181" t="s">
        <v>663</v>
      </c>
      <c r="M181" t="s">
        <v>73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116</v>
      </c>
      <c r="U181" t="s">
        <v>117</v>
      </c>
      <c r="V181" t="str">
        <f t="shared" si="19"/>
        <v>Valid</v>
      </c>
      <c r="W181">
        <f t="shared" si="20"/>
        <v>4</v>
      </c>
      <c r="Y181" t="str">
        <f t="shared" si="21"/>
        <v>OK</v>
      </c>
      <c r="Z181" t="str">
        <f t="shared" si="22"/>
        <v>OK</v>
      </c>
      <c r="AA181" t="str">
        <f t="shared" si="23"/>
        <v>OK</v>
      </c>
      <c r="AB181" t="str">
        <f t="shared" si="24"/>
        <v>Valid</v>
      </c>
      <c r="AC181" t="str">
        <f>IF(OR(AB181="Invalid Discount",V181="Invalid Shipping"),
"Invalid",
IF(OR(Y181="Missing Region",
Z181="Missing Ship Mode",
AA181="Missing Discount",
X181="Flagged for Review"),
"Warning",
"Clean"))</f>
        <v>Clean</v>
      </c>
      <c r="AD181">
        <f t="shared" si="25"/>
        <v>0.25</v>
      </c>
      <c r="AE181">
        <f>N181*O181*(1-AD181)</f>
        <v>9558.9000000000015</v>
      </c>
      <c r="AF181">
        <f>AE181-R181</f>
        <v>4042.1400000000012</v>
      </c>
      <c r="AG181" s="3">
        <f t="shared" si="26"/>
        <v>0.42286664783604816</v>
      </c>
      <c r="AH181" t="str">
        <f t="shared" si="27"/>
        <v>March</v>
      </c>
      <c r="AI181">
        <f t="shared" si="28"/>
        <v>2024</v>
      </c>
    </row>
    <row r="182" spans="1:35">
      <c r="A182" t="s">
        <v>664</v>
      </c>
      <c r="B182" s="2">
        <v>45530</v>
      </c>
      <c r="C182" s="2">
        <v>45530</v>
      </c>
      <c r="D182" t="s">
        <v>665</v>
      </c>
      <c r="E182" t="s">
        <v>50</v>
      </c>
      <c r="F182" t="s">
        <v>109</v>
      </c>
      <c r="G182" t="s">
        <v>39</v>
      </c>
      <c r="H182" t="s">
        <v>150</v>
      </c>
      <c r="I182" t="s">
        <v>151</v>
      </c>
      <c r="J182" t="s">
        <v>42</v>
      </c>
      <c r="K182" t="s">
        <v>167</v>
      </c>
      <c r="L182" t="s">
        <v>666</v>
      </c>
      <c r="M182" t="s">
        <v>64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46</v>
      </c>
      <c r="U182" t="s">
        <v>47</v>
      </c>
      <c r="V182" t="str">
        <f t="shared" si="19"/>
        <v>Valid</v>
      </c>
      <c r="W182">
        <f t="shared" si="20"/>
        <v>0</v>
      </c>
      <c r="Y182" t="str">
        <f t="shared" si="21"/>
        <v>OK</v>
      </c>
      <c r="Z182" t="str">
        <f t="shared" si="22"/>
        <v>OK</v>
      </c>
      <c r="AA182" t="str">
        <f t="shared" si="23"/>
        <v>OK</v>
      </c>
      <c r="AB182" t="str">
        <f t="shared" si="24"/>
        <v>Valid</v>
      </c>
      <c r="AC182" t="str">
        <f>IF(OR(AB182="Invalid Discount",V182="Invalid Shipping"),
"Invalid",
IF(OR(Y182="Missing Region",
Z182="Missing Ship Mode",
AA182="Missing Discount",
X182="Flagged for Review"),
"Warning",
"Clean"))</f>
        <v>Clean</v>
      </c>
      <c r="AD182">
        <f t="shared" si="25"/>
        <v>0.1</v>
      </c>
      <c r="AE182">
        <f>N182*O182*(1-AD182)</f>
        <v>5320.9170000000004</v>
      </c>
      <c r="AF182">
        <f>AE182-R182</f>
        <v>2279.4170000000004</v>
      </c>
      <c r="AG182" s="3">
        <f t="shared" si="26"/>
        <v>0.42838800154183954</v>
      </c>
      <c r="AH182" t="str">
        <f t="shared" si="27"/>
        <v>August</v>
      </c>
      <c r="AI182">
        <f t="shared" si="28"/>
        <v>2024</v>
      </c>
    </row>
    <row r="183" spans="1:35">
      <c r="A183" t="s">
        <v>667</v>
      </c>
      <c r="B183" s="2">
        <v>45909</v>
      </c>
      <c r="C183" s="2">
        <v>45910</v>
      </c>
      <c r="D183" t="s">
        <v>668</v>
      </c>
      <c r="E183" t="s">
        <v>128</v>
      </c>
      <c r="F183" t="s">
        <v>109</v>
      </c>
      <c r="G183" t="s">
        <v>68</v>
      </c>
      <c r="H183" t="s">
        <v>262</v>
      </c>
      <c r="I183" t="s">
        <v>263</v>
      </c>
      <c r="J183" t="s">
        <v>42</v>
      </c>
      <c r="K183" t="s">
        <v>62</v>
      </c>
      <c r="L183" t="s">
        <v>669</v>
      </c>
      <c r="M183" t="s">
        <v>45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46</v>
      </c>
      <c r="U183" t="s">
        <v>47</v>
      </c>
      <c r="V183" t="str">
        <f t="shared" si="19"/>
        <v>Valid</v>
      </c>
      <c r="W183">
        <f t="shared" si="20"/>
        <v>1</v>
      </c>
      <c r="Y183" t="str">
        <f t="shared" si="21"/>
        <v>OK</v>
      </c>
      <c r="Z183" t="str">
        <f t="shared" si="22"/>
        <v>OK</v>
      </c>
      <c r="AA183" t="str">
        <f t="shared" si="23"/>
        <v>OK</v>
      </c>
      <c r="AB183" t="str">
        <f t="shared" si="24"/>
        <v>Valid</v>
      </c>
      <c r="AC183" t="str">
        <f>IF(OR(AB183="Invalid Discount",V183="Invalid Shipping"),
"Invalid",
IF(OR(Y183="Missing Region",
Z183="Missing Ship Mode",
AA183="Missing Discount",
X183="Flagged for Review"),
"Warning",
"Clean"))</f>
        <v>Clean</v>
      </c>
      <c r="AD183">
        <f t="shared" si="25"/>
        <v>0</v>
      </c>
      <c r="AE183">
        <f>N183*O183*(1-AD183)</f>
        <v>10205.799999999999</v>
      </c>
      <c r="AF183">
        <f>AE183-R183</f>
        <v>4219.4899999999989</v>
      </c>
      <c r="AG183" s="3">
        <f t="shared" si="26"/>
        <v>0.41344039663720622</v>
      </c>
      <c r="AH183" t="str">
        <f t="shared" si="27"/>
        <v>September</v>
      </c>
      <c r="AI183">
        <f t="shared" si="28"/>
        <v>2025</v>
      </c>
    </row>
    <row r="184" spans="1:35">
      <c r="A184" t="s">
        <v>670</v>
      </c>
      <c r="B184" s="2">
        <v>45581</v>
      </c>
      <c r="C184" s="2">
        <v>45581</v>
      </c>
      <c r="D184" t="s">
        <v>671</v>
      </c>
      <c r="E184" t="s">
        <v>76</v>
      </c>
      <c r="F184" t="s">
        <v>109</v>
      </c>
      <c r="G184" t="s">
        <v>52</v>
      </c>
      <c r="H184" t="s">
        <v>159</v>
      </c>
      <c r="I184" t="s">
        <v>160</v>
      </c>
      <c r="J184" t="s">
        <v>88</v>
      </c>
      <c r="K184" t="s">
        <v>289</v>
      </c>
      <c r="L184" t="s">
        <v>672</v>
      </c>
      <c r="M184" t="s">
        <v>73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46</v>
      </c>
      <c r="U184" t="s">
        <v>47</v>
      </c>
      <c r="V184" t="str">
        <f t="shared" si="19"/>
        <v>Valid</v>
      </c>
      <c r="W184">
        <f t="shared" si="20"/>
        <v>0</v>
      </c>
      <c r="Y184" t="str">
        <f t="shared" si="21"/>
        <v>OK</v>
      </c>
      <c r="Z184" t="str">
        <f t="shared" si="22"/>
        <v>OK</v>
      </c>
      <c r="AA184" t="str">
        <f t="shared" si="23"/>
        <v>OK</v>
      </c>
      <c r="AB184" t="str">
        <f t="shared" si="24"/>
        <v>Valid</v>
      </c>
      <c r="AC184" t="str">
        <f>IF(OR(AB184="Invalid Discount",V184="Invalid Shipping"),
"Invalid",
IF(OR(Y184="Missing Region",
Z184="Missing Ship Mode",
AA184="Missing Discount",
X184="Flagged for Review"),
"Warning",
"Clean"))</f>
        <v>Clean</v>
      </c>
      <c r="AD184">
        <f t="shared" si="25"/>
        <v>0</v>
      </c>
      <c r="AE184">
        <f>N184*O184*(1-AD184)</f>
        <v>5430.3899999999994</v>
      </c>
      <c r="AF184">
        <f>AE184-R184</f>
        <v>1722.7299999999996</v>
      </c>
      <c r="AG184" s="3">
        <f t="shared" si="26"/>
        <v>0.31723872502711586</v>
      </c>
      <c r="AH184" t="str">
        <f t="shared" si="27"/>
        <v>October</v>
      </c>
      <c r="AI184">
        <f t="shared" si="28"/>
        <v>2024</v>
      </c>
    </row>
    <row r="185" spans="1:35">
      <c r="A185" t="s">
        <v>673</v>
      </c>
      <c r="B185" s="2">
        <v>45832</v>
      </c>
      <c r="C185" s="2">
        <v>45835</v>
      </c>
      <c r="D185" t="s">
        <v>674</v>
      </c>
      <c r="E185" t="s">
        <v>85</v>
      </c>
      <c r="F185" t="s">
        <v>109</v>
      </c>
      <c r="G185" t="s">
        <v>68</v>
      </c>
      <c r="H185" t="s">
        <v>69</v>
      </c>
      <c r="I185" t="s">
        <v>70</v>
      </c>
      <c r="J185" t="s">
        <v>88</v>
      </c>
      <c r="K185" t="s">
        <v>94</v>
      </c>
      <c r="L185" t="s">
        <v>675</v>
      </c>
      <c r="M185" t="s">
        <v>73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46</v>
      </c>
      <c r="U185" t="s">
        <v>117</v>
      </c>
      <c r="V185" t="str">
        <f t="shared" si="19"/>
        <v>Valid</v>
      </c>
      <c r="W185">
        <f t="shared" si="20"/>
        <v>3</v>
      </c>
      <c r="Y185" t="str">
        <f t="shared" si="21"/>
        <v>OK</v>
      </c>
      <c r="Z185" t="str">
        <f t="shared" si="22"/>
        <v>OK</v>
      </c>
      <c r="AA185" t="str">
        <f t="shared" si="23"/>
        <v>OK</v>
      </c>
      <c r="AB185" t="str">
        <f t="shared" si="24"/>
        <v>Valid</v>
      </c>
      <c r="AC185" t="str">
        <f>IF(OR(AB185="Invalid Discount",V185="Invalid Shipping"),
"Invalid",
IF(OR(Y185="Missing Region",
Z185="Missing Ship Mode",
AA185="Missing Discount",
X185="Flagged for Review"),
"Warning",
"Clean"))</f>
        <v>Clean</v>
      </c>
      <c r="AD185">
        <f t="shared" si="25"/>
        <v>0.2</v>
      </c>
      <c r="AE185">
        <f>N185*O185*(1-AD185)</f>
        <v>12907.216</v>
      </c>
      <c r="AF185">
        <f>AE185-R185</f>
        <v>4579.3260000000009</v>
      </c>
      <c r="AG185" s="3">
        <f t="shared" si="26"/>
        <v>0.3547880503433119</v>
      </c>
      <c r="AH185" t="str">
        <f t="shared" si="27"/>
        <v>June</v>
      </c>
      <c r="AI185">
        <f t="shared" si="28"/>
        <v>2025</v>
      </c>
    </row>
    <row r="186" spans="1:35">
      <c r="A186" t="s">
        <v>676</v>
      </c>
      <c r="B186" s="2">
        <v>45384</v>
      </c>
      <c r="C186" s="2">
        <v>45388</v>
      </c>
      <c r="D186" t="s">
        <v>677</v>
      </c>
      <c r="E186" t="s">
        <v>85</v>
      </c>
      <c r="F186" t="s">
        <v>104</v>
      </c>
      <c r="G186" t="s">
        <v>77</v>
      </c>
      <c r="H186" t="s">
        <v>86</v>
      </c>
      <c r="I186" t="s">
        <v>87</v>
      </c>
      <c r="J186" t="s">
        <v>55</v>
      </c>
      <c r="K186" t="s">
        <v>172</v>
      </c>
      <c r="L186" t="s">
        <v>678</v>
      </c>
      <c r="M186" t="s">
        <v>73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116</v>
      </c>
      <c r="U186" t="s">
        <v>117</v>
      </c>
      <c r="V186" t="str">
        <f t="shared" si="19"/>
        <v>Valid</v>
      </c>
      <c r="W186">
        <f t="shared" si="20"/>
        <v>4</v>
      </c>
      <c r="Y186" t="str">
        <f t="shared" si="21"/>
        <v>OK</v>
      </c>
      <c r="Z186" t="str">
        <f t="shared" si="22"/>
        <v>OK</v>
      </c>
      <c r="AA186" t="str">
        <f t="shared" si="23"/>
        <v>OK</v>
      </c>
      <c r="AB186" t="str">
        <f t="shared" si="24"/>
        <v>Valid</v>
      </c>
      <c r="AC186" t="str">
        <f>IF(OR(AB186="Invalid Discount",V186="Invalid Shipping"),
"Invalid",
IF(OR(Y186="Missing Region",
Z186="Missing Ship Mode",
AA186="Missing Discount",
X186="Flagged for Review"),
"Warning",
"Clean"))</f>
        <v>Clean</v>
      </c>
      <c r="AD186">
        <f t="shared" si="25"/>
        <v>0</v>
      </c>
      <c r="AE186">
        <f>N186*O186*(1-AD186)</f>
        <v>1777.96</v>
      </c>
      <c r="AF186">
        <f>AE186-R186</f>
        <v>756.80000000000007</v>
      </c>
      <c r="AG186" s="3">
        <f t="shared" si="26"/>
        <v>0.42565637022205227</v>
      </c>
      <c r="AH186" t="str">
        <f t="shared" si="27"/>
        <v>April</v>
      </c>
      <c r="AI186">
        <f t="shared" si="28"/>
        <v>2024</v>
      </c>
    </row>
    <row r="187" spans="1:35">
      <c r="A187" t="s">
        <v>679</v>
      </c>
      <c r="B187" s="2">
        <v>45601</v>
      </c>
      <c r="C187" s="2">
        <v>45609</v>
      </c>
      <c r="D187" t="s">
        <v>680</v>
      </c>
      <c r="E187" t="s">
        <v>67</v>
      </c>
      <c r="F187" t="s">
        <v>38</v>
      </c>
      <c r="G187" t="s">
        <v>219</v>
      </c>
      <c r="H187" t="s">
        <v>136</v>
      </c>
      <c r="I187" t="s">
        <v>137</v>
      </c>
      <c r="J187" t="s">
        <v>42</v>
      </c>
      <c r="K187" t="s">
        <v>105</v>
      </c>
      <c r="L187" t="s">
        <v>681</v>
      </c>
      <c r="M187" t="s">
        <v>45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46</v>
      </c>
      <c r="U187" t="s">
        <v>47</v>
      </c>
      <c r="V187" t="str">
        <f t="shared" si="19"/>
        <v>Valid</v>
      </c>
      <c r="W187">
        <f t="shared" si="20"/>
        <v>8</v>
      </c>
      <c r="Y187" t="str">
        <f t="shared" si="21"/>
        <v>Missing Region</v>
      </c>
      <c r="Z187" t="str">
        <f t="shared" si="22"/>
        <v>OK</v>
      </c>
      <c r="AA187" t="str">
        <f t="shared" si="23"/>
        <v>OK</v>
      </c>
      <c r="AB187" t="str">
        <f t="shared" si="24"/>
        <v>Valid</v>
      </c>
      <c r="AC187" t="str">
        <f>IF(OR(AB187="Invalid Discount",V187="Invalid Shipping"),
"Invalid",
IF(OR(Y187="Missing Region",
Z187="Missing Ship Mode",
AA187="Missing Discount",
X187="Flagged for Review"),
"Warning",
"Clean"))</f>
        <v>Warning</v>
      </c>
      <c r="AD187">
        <f t="shared" si="25"/>
        <v>0.2</v>
      </c>
      <c r="AE187">
        <f>N187*O187*(1-AD187)</f>
        <v>1605.0720000000001</v>
      </c>
      <c r="AF187">
        <f>AE187-R187</f>
        <v>267.79200000000014</v>
      </c>
      <c r="AG187" s="3">
        <f t="shared" si="26"/>
        <v>0.16684111366966722</v>
      </c>
      <c r="AH187" t="str">
        <f t="shared" si="27"/>
        <v>November</v>
      </c>
      <c r="AI187">
        <f t="shared" si="28"/>
        <v>2024</v>
      </c>
    </row>
    <row r="188" spans="1:35">
      <c r="A188" t="s">
        <v>682</v>
      </c>
      <c r="B188" s="2">
        <v>45492</v>
      </c>
      <c r="C188" s="2">
        <v>45493</v>
      </c>
      <c r="D188" t="s">
        <v>278</v>
      </c>
      <c r="E188" t="s">
        <v>85</v>
      </c>
      <c r="F188" t="s">
        <v>38</v>
      </c>
      <c r="G188" t="s">
        <v>68</v>
      </c>
      <c r="H188" t="s">
        <v>262</v>
      </c>
      <c r="I188" t="s">
        <v>263</v>
      </c>
      <c r="J188" t="s">
        <v>55</v>
      </c>
      <c r="K188" t="s">
        <v>56</v>
      </c>
      <c r="L188" t="s">
        <v>683</v>
      </c>
      <c r="M188" t="s">
        <v>64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46</v>
      </c>
      <c r="U188" t="s">
        <v>47</v>
      </c>
      <c r="V188" t="str">
        <f t="shared" si="19"/>
        <v>Valid</v>
      </c>
      <c r="W188">
        <f t="shared" si="20"/>
        <v>1</v>
      </c>
      <c r="Y188" t="str">
        <f t="shared" si="21"/>
        <v>OK</v>
      </c>
      <c r="Z188" t="str">
        <f t="shared" si="22"/>
        <v>OK</v>
      </c>
      <c r="AA188" t="str">
        <f t="shared" si="23"/>
        <v>OK</v>
      </c>
      <c r="AB188" t="str">
        <f t="shared" si="24"/>
        <v>Valid</v>
      </c>
      <c r="AC188" t="str">
        <f>IF(OR(AB188="Invalid Discount",V188="Invalid Shipping"),
"Invalid",
IF(OR(Y188="Missing Region",
Z188="Missing Ship Mode",
AA188="Missing Discount",
X188="Flagged for Review"),
"Warning",
"Clean"))</f>
        <v>Clean</v>
      </c>
      <c r="AD188">
        <f t="shared" si="25"/>
        <v>0.05</v>
      </c>
      <c r="AE188">
        <f>N188*O188*(1-AD188)</f>
        <v>23996.059499999996</v>
      </c>
      <c r="AF188">
        <f>AE188-R188</f>
        <v>3828.7794999999969</v>
      </c>
      <c r="AG188" s="3">
        <f t="shared" si="26"/>
        <v>0.15955867670689838</v>
      </c>
      <c r="AH188" t="str">
        <f t="shared" si="27"/>
        <v>July</v>
      </c>
      <c r="AI188">
        <f t="shared" si="28"/>
        <v>2024</v>
      </c>
    </row>
    <row r="189" spans="1:35">
      <c r="A189" t="s">
        <v>684</v>
      </c>
      <c r="B189" s="2">
        <v>45778</v>
      </c>
      <c r="C189" s="2">
        <v>45779</v>
      </c>
      <c r="D189" t="s">
        <v>685</v>
      </c>
      <c r="E189" t="s">
        <v>50</v>
      </c>
      <c r="F189" t="s">
        <v>38</v>
      </c>
      <c r="G189" t="s">
        <v>77</v>
      </c>
      <c r="H189" t="s">
        <v>86</v>
      </c>
      <c r="I189" t="s">
        <v>87</v>
      </c>
      <c r="J189" t="s">
        <v>55</v>
      </c>
      <c r="K189" t="s">
        <v>80</v>
      </c>
      <c r="L189" t="s">
        <v>686</v>
      </c>
      <c r="M189" t="s">
        <v>58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46</v>
      </c>
      <c r="U189" t="s">
        <v>117</v>
      </c>
      <c r="V189" t="str">
        <f t="shared" si="19"/>
        <v>Valid</v>
      </c>
      <c r="W189">
        <f t="shared" si="20"/>
        <v>1</v>
      </c>
      <c r="Y189" t="str">
        <f t="shared" si="21"/>
        <v>OK</v>
      </c>
      <c r="Z189" t="str">
        <f t="shared" si="22"/>
        <v>OK</v>
      </c>
      <c r="AA189" t="str">
        <f t="shared" si="23"/>
        <v>OK</v>
      </c>
      <c r="AB189" t="str">
        <f t="shared" si="24"/>
        <v>Valid</v>
      </c>
      <c r="AC189" t="str">
        <f>IF(OR(AB189="Invalid Discount",V189="Invalid Shipping"),
"Invalid",
IF(OR(Y189="Missing Region",
Z189="Missing Ship Mode",
AA189="Missing Discount",
X189="Flagged for Review"),
"Warning",
"Clean"))</f>
        <v>Clean</v>
      </c>
      <c r="AD189">
        <f t="shared" si="25"/>
        <v>0</v>
      </c>
      <c r="AE189">
        <f>N189*O189*(1-AD189)</f>
        <v>8717.2199999999993</v>
      </c>
      <c r="AF189">
        <f>AE189-R189</f>
        <v>2501.2599999999993</v>
      </c>
      <c r="AG189" s="3">
        <f t="shared" si="26"/>
        <v>0.28693321953558582</v>
      </c>
      <c r="AH189" t="str">
        <f t="shared" si="27"/>
        <v>May</v>
      </c>
      <c r="AI189">
        <f t="shared" si="28"/>
        <v>2025</v>
      </c>
    </row>
    <row r="190" spans="1:35">
      <c r="A190" t="s">
        <v>687</v>
      </c>
      <c r="B190" s="2">
        <v>45798</v>
      </c>
      <c r="C190" s="2">
        <v>45805</v>
      </c>
      <c r="D190" t="s">
        <v>688</v>
      </c>
      <c r="E190" t="s">
        <v>128</v>
      </c>
      <c r="F190" t="s">
        <v>104</v>
      </c>
      <c r="G190" t="s">
        <v>52</v>
      </c>
      <c r="H190" t="s">
        <v>113</v>
      </c>
      <c r="I190" t="s">
        <v>114</v>
      </c>
      <c r="J190" t="s">
        <v>55</v>
      </c>
      <c r="K190" t="s">
        <v>172</v>
      </c>
      <c r="L190" t="s">
        <v>689</v>
      </c>
      <c r="M190" t="s">
        <v>58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46</v>
      </c>
      <c r="U190" t="s">
        <v>47</v>
      </c>
      <c r="V190" t="str">
        <f t="shared" si="19"/>
        <v>Valid</v>
      </c>
      <c r="W190">
        <f t="shared" si="20"/>
        <v>7</v>
      </c>
      <c r="Y190" t="str">
        <f t="shared" si="21"/>
        <v>OK</v>
      </c>
      <c r="Z190" t="str">
        <f t="shared" si="22"/>
        <v>OK</v>
      </c>
      <c r="AA190" t="str">
        <f t="shared" si="23"/>
        <v>OK</v>
      </c>
      <c r="AB190" t="str">
        <f t="shared" si="24"/>
        <v>Valid</v>
      </c>
      <c r="AC190" t="str">
        <f>IF(OR(AB190="Invalid Discount",V190="Invalid Shipping"),
"Invalid",
IF(OR(Y190="Missing Region",
Z190="Missing Ship Mode",
AA190="Missing Discount",
X190="Flagged for Review"),
"Warning",
"Clean"))</f>
        <v>Clean</v>
      </c>
      <c r="AD190">
        <f t="shared" si="25"/>
        <v>0.1</v>
      </c>
      <c r="AE190">
        <f>N190*O190*(1-AD190)</f>
        <v>6407.2260000000006</v>
      </c>
      <c r="AF190">
        <f>AE190-R190</f>
        <v>1484.1360000000004</v>
      </c>
      <c r="AG190" s="3">
        <f t="shared" si="26"/>
        <v>0.23163471992403581</v>
      </c>
      <c r="AH190" t="str">
        <f t="shared" si="27"/>
        <v>May</v>
      </c>
      <c r="AI190">
        <f t="shared" si="28"/>
        <v>2025</v>
      </c>
    </row>
    <row r="191" spans="1:35">
      <c r="A191" t="s">
        <v>690</v>
      </c>
      <c r="B191" s="2">
        <v>45783</v>
      </c>
      <c r="C191" s="2">
        <v>45784</v>
      </c>
      <c r="D191" t="s">
        <v>691</v>
      </c>
      <c r="E191" t="s">
        <v>67</v>
      </c>
      <c r="F191" t="s">
        <v>38</v>
      </c>
      <c r="G191" t="s">
        <v>77</v>
      </c>
      <c r="H191" t="s">
        <v>40</v>
      </c>
      <c r="I191" t="s">
        <v>123</v>
      </c>
      <c r="J191" t="s">
        <v>55</v>
      </c>
      <c r="K191" t="s">
        <v>172</v>
      </c>
      <c r="L191" t="s">
        <v>692</v>
      </c>
      <c r="M191" t="s">
        <v>64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46</v>
      </c>
      <c r="U191" t="s">
        <v>47</v>
      </c>
      <c r="V191" t="str">
        <f t="shared" si="19"/>
        <v>Valid</v>
      </c>
      <c r="W191">
        <f t="shared" si="20"/>
        <v>1</v>
      </c>
      <c r="Y191" t="str">
        <f t="shared" si="21"/>
        <v>OK</v>
      </c>
      <c r="Z191" t="str">
        <f t="shared" si="22"/>
        <v>OK</v>
      </c>
      <c r="AA191" t="str">
        <f t="shared" si="23"/>
        <v>Missing Discount</v>
      </c>
      <c r="AB191" t="str">
        <f t="shared" si="24"/>
        <v>Valid</v>
      </c>
      <c r="AC191" t="str">
        <f>IF(OR(AB191="Invalid Discount",V191="Invalid Shipping"),
"Invalid",
IF(OR(Y191="Missing Region",
Z191="Missing Ship Mode",
AA191="Missing Discount",
X191="Flagged for Review"),
"Warning",
"Clean"))</f>
        <v>Warning</v>
      </c>
      <c r="AD191">
        <f t="shared" si="25"/>
        <v>0</v>
      </c>
      <c r="AE191">
        <f>N191*O191*(1-AD191)</f>
        <v>29864.159999999996</v>
      </c>
      <c r="AF191">
        <f>AE191-R191</f>
        <v>12991.769999999997</v>
      </c>
      <c r="AG191" s="3">
        <f t="shared" si="26"/>
        <v>0.43502881045373448</v>
      </c>
      <c r="AH191" t="str">
        <f t="shared" si="27"/>
        <v>May</v>
      </c>
      <c r="AI191">
        <f t="shared" si="28"/>
        <v>2025</v>
      </c>
    </row>
    <row r="192" spans="1:35">
      <c r="A192" t="s">
        <v>693</v>
      </c>
      <c r="B192" s="2">
        <v>45767</v>
      </c>
      <c r="C192" s="2">
        <v>45768</v>
      </c>
      <c r="D192" t="s">
        <v>694</v>
      </c>
      <c r="E192" t="s">
        <v>103</v>
      </c>
      <c r="F192" t="s">
        <v>38</v>
      </c>
      <c r="G192" t="s">
        <v>68</v>
      </c>
      <c r="H192" t="s">
        <v>262</v>
      </c>
      <c r="I192" t="s">
        <v>263</v>
      </c>
      <c r="J192" t="s">
        <v>42</v>
      </c>
      <c r="K192" t="s">
        <v>138</v>
      </c>
      <c r="L192" t="s">
        <v>695</v>
      </c>
      <c r="M192" t="s">
        <v>64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46</v>
      </c>
      <c r="U192" t="s">
        <v>47</v>
      </c>
      <c r="V192" t="str">
        <f t="shared" si="19"/>
        <v>Valid</v>
      </c>
      <c r="W192">
        <f t="shared" si="20"/>
        <v>1</v>
      </c>
      <c r="Y192" t="str">
        <f t="shared" si="21"/>
        <v>OK</v>
      </c>
      <c r="Z192" t="str">
        <f t="shared" si="22"/>
        <v>OK</v>
      </c>
      <c r="AA192" t="str">
        <f t="shared" si="23"/>
        <v>OK</v>
      </c>
      <c r="AB192" t="str">
        <f t="shared" si="24"/>
        <v>Valid</v>
      </c>
      <c r="AC192" t="str">
        <f>IF(OR(AB192="Invalid Discount",V192="Invalid Shipping"),
"Invalid",
IF(OR(Y192="Missing Region",
Z192="Missing Ship Mode",
AA192="Missing Discount",
X192="Flagged for Review"),
"Warning",
"Clean"))</f>
        <v>Clean</v>
      </c>
      <c r="AD192">
        <f t="shared" si="25"/>
        <v>0.1</v>
      </c>
      <c r="AE192">
        <f>N192*O192*(1-AD192)</f>
        <v>1458.2429999999999</v>
      </c>
      <c r="AF192">
        <f>AE192-R192</f>
        <v>514.92299999999989</v>
      </c>
      <c r="AG192" s="3">
        <f t="shared" si="26"/>
        <v>0.35311192990468659</v>
      </c>
      <c r="AH192" t="str">
        <f t="shared" si="27"/>
        <v>April</v>
      </c>
      <c r="AI192">
        <f t="shared" si="28"/>
        <v>2025</v>
      </c>
    </row>
    <row r="193" spans="1:35">
      <c r="A193" t="s">
        <v>696</v>
      </c>
      <c r="B193" s="2">
        <v>45584</v>
      </c>
      <c r="C193" s="2">
        <v>45589</v>
      </c>
      <c r="D193" t="s">
        <v>697</v>
      </c>
      <c r="E193" t="s">
        <v>146</v>
      </c>
      <c r="F193" t="s">
        <v>51</v>
      </c>
      <c r="G193" t="s">
        <v>68</v>
      </c>
      <c r="H193" t="s">
        <v>262</v>
      </c>
      <c r="I193" t="s">
        <v>263</v>
      </c>
      <c r="J193" t="s">
        <v>55</v>
      </c>
      <c r="K193" t="s">
        <v>172</v>
      </c>
      <c r="L193" t="s">
        <v>698</v>
      </c>
      <c r="M193" t="s">
        <v>45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46</v>
      </c>
      <c r="U193" t="s">
        <v>47</v>
      </c>
      <c r="V193" t="str">
        <f t="shared" si="19"/>
        <v>Valid</v>
      </c>
      <c r="W193">
        <f t="shared" si="20"/>
        <v>5</v>
      </c>
      <c r="Y193" t="str">
        <f t="shared" si="21"/>
        <v>OK</v>
      </c>
      <c r="Z193" t="str">
        <f t="shared" si="22"/>
        <v>OK</v>
      </c>
      <c r="AA193" t="str">
        <f t="shared" si="23"/>
        <v>OK</v>
      </c>
      <c r="AB193" t="str">
        <f t="shared" si="24"/>
        <v>Valid</v>
      </c>
      <c r="AC193" t="str">
        <f>IF(OR(AB193="Invalid Discount",V193="Invalid Shipping"),
"Invalid",
IF(OR(Y193="Missing Region",
Z193="Missing Ship Mode",
AA193="Missing Discount",
X193="Flagged for Review"),
"Warning",
"Clean"))</f>
        <v>Clean</v>
      </c>
      <c r="AD193">
        <f t="shared" si="25"/>
        <v>0.65</v>
      </c>
      <c r="AE193">
        <f>N193*O193*(1-AD193)</f>
        <v>9047.64</v>
      </c>
      <c r="AF193">
        <f>AE193-R193</f>
        <v>-10350.040000000001</v>
      </c>
      <c r="AG193" s="3">
        <f t="shared" si="26"/>
        <v>-1.1439491403283069</v>
      </c>
      <c r="AH193" t="str">
        <f t="shared" si="27"/>
        <v>October</v>
      </c>
      <c r="AI193">
        <f t="shared" si="28"/>
        <v>2024</v>
      </c>
    </row>
    <row r="194" spans="1:35">
      <c r="A194" t="s">
        <v>699</v>
      </c>
      <c r="B194" s="2">
        <v>45635</v>
      </c>
      <c r="C194" s="2">
        <v>45642</v>
      </c>
      <c r="D194" t="s">
        <v>700</v>
      </c>
      <c r="E194" t="s">
        <v>61</v>
      </c>
      <c r="F194" t="s">
        <v>109</v>
      </c>
      <c r="G194" t="s">
        <v>77</v>
      </c>
      <c r="H194" t="s">
        <v>194</v>
      </c>
      <c r="I194" t="s">
        <v>195</v>
      </c>
      <c r="J194" t="s">
        <v>55</v>
      </c>
      <c r="K194" t="s">
        <v>80</v>
      </c>
      <c r="L194" t="s">
        <v>701</v>
      </c>
      <c r="M194" t="s">
        <v>64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46</v>
      </c>
      <c r="U194" t="s">
        <v>47</v>
      </c>
      <c r="V194" t="str">
        <f t="shared" si="19"/>
        <v>Valid</v>
      </c>
      <c r="W194">
        <f t="shared" si="20"/>
        <v>7</v>
      </c>
      <c r="Y194" t="str">
        <f t="shared" si="21"/>
        <v>OK</v>
      </c>
      <c r="Z194" t="str">
        <f t="shared" si="22"/>
        <v>OK</v>
      </c>
      <c r="AA194" t="str">
        <f t="shared" si="23"/>
        <v>OK</v>
      </c>
      <c r="AB194" t="str">
        <f t="shared" si="24"/>
        <v>Valid</v>
      </c>
      <c r="AC194" t="str">
        <f>IF(OR(AB194="Invalid Discount",V194="Invalid Shipping"),
"Invalid",
IF(OR(Y194="Missing Region",
Z194="Missing Ship Mode",
AA194="Missing Discount",
X194="Flagged for Review"),
"Warning",
"Clean"))</f>
        <v>Clean</v>
      </c>
      <c r="AD194">
        <f t="shared" si="25"/>
        <v>0</v>
      </c>
      <c r="AE194">
        <f>N194*O194*(1-AD194)</f>
        <v>8764.1200000000008</v>
      </c>
      <c r="AF194">
        <f>AE194-R194</f>
        <v>1544.0700000000006</v>
      </c>
      <c r="AG194" s="3">
        <f t="shared" si="26"/>
        <v>0.17618083732308554</v>
      </c>
      <c r="AH194" t="str">
        <f t="shared" si="27"/>
        <v>December</v>
      </c>
      <c r="AI194">
        <f t="shared" si="28"/>
        <v>2024</v>
      </c>
    </row>
    <row r="195" spans="1:35">
      <c r="A195" t="s">
        <v>702</v>
      </c>
      <c r="B195" s="2">
        <v>45466</v>
      </c>
      <c r="C195" s="2">
        <v>45471</v>
      </c>
      <c r="D195" t="s">
        <v>703</v>
      </c>
      <c r="E195" t="s">
        <v>128</v>
      </c>
      <c r="F195" t="s">
        <v>51</v>
      </c>
      <c r="G195" t="s">
        <v>39</v>
      </c>
      <c r="H195" t="s">
        <v>136</v>
      </c>
      <c r="I195" t="s">
        <v>137</v>
      </c>
      <c r="J195" t="s">
        <v>88</v>
      </c>
      <c r="K195" t="s">
        <v>94</v>
      </c>
      <c r="L195" t="s">
        <v>704</v>
      </c>
      <c r="M195" t="s">
        <v>58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116</v>
      </c>
      <c r="U195" t="s">
        <v>117</v>
      </c>
      <c r="V195" t="str">
        <f t="shared" ref="V195:V258" si="29">IF(C195&lt;B195,"Invalid Shipping","Valid")</f>
        <v>Valid</v>
      </c>
      <c r="W195">
        <f t="shared" ref="W195:W258" si="30">C195-B195</f>
        <v>5</v>
      </c>
      <c r="Y195" t="str">
        <f t="shared" ref="Y195:Y258" si="31">IF(G195="Unknown","Missing Region","OK")</f>
        <v>OK</v>
      </c>
      <c r="Z195" t="str">
        <f t="shared" ref="Z195:Z258" si="32">IF(M195="Unknown","Missing Ship Mode","OK")</f>
        <v>OK</v>
      </c>
      <c r="AA195" t="str">
        <f t="shared" ref="AA195:AA258" si="33">IF(P195="","Missing Discount","OK")</f>
        <v>OK</v>
      </c>
      <c r="AB195" t="str">
        <f t="shared" ref="AB195:AB258" si="34">IF(OR(P195&lt;0,P195&gt;1),"Invalid Discount","Valid")</f>
        <v>Valid</v>
      </c>
      <c r="AC195" t="str">
        <f>IF(OR(AB195="Invalid Discount",V195="Invalid Shipping"),
"Invalid",
IF(OR(Y195="Missing Region",
Z195="Missing Ship Mode",
AA195="Missing Discount",
X195="Flagged for Review"),
"Warning",
"Clean"))</f>
        <v>Clean</v>
      </c>
      <c r="AD195">
        <f t="shared" ref="AD195:AD258" si="35">IF(P195="",0,P195)</f>
        <v>0.2</v>
      </c>
      <c r="AE195">
        <f>N195*O195*(1-AD195)</f>
        <v>9391.8240000000005</v>
      </c>
      <c r="AF195">
        <f>AE195-R195</f>
        <v>3378.6040000000003</v>
      </c>
      <c r="AG195" s="3">
        <f t="shared" ref="AG195:AG258" si="36">IF(AE195=0,0,AF195/AE195)</f>
        <v>0.35973885370935399</v>
      </c>
      <c r="AH195" t="str">
        <f t="shared" ref="AH195:AH258" si="37">TEXT(B195,"mmmm")</f>
        <v>June</v>
      </c>
      <c r="AI195">
        <f t="shared" ref="AI195:AI258" si="38">YEAR(B195)</f>
        <v>2024</v>
      </c>
    </row>
    <row r="196" spans="1:35">
      <c r="A196" t="s">
        <v>705</v>
      </c>
      <c r="B196" s="2">
        <v>45685</v>
      </c>
      <c r="C196" s="2">
        <v>45688</v>
      </c>
      <c r="D196" t="s">
        <v>706</v>
      </c>
      <c r="E196" t="s">
        <v>128</v>
      </c>
      <c r="F196" t="s">
        <v>38</v>
      </c>
      <c r="G196" t="s">
        <v>77</v>
      </c>
      <c r="H196" t="s">
        <v>78</v>
      </c>
      <c r="I196" t="s">
        <v>79</v>
      </c>
      <c r="J196" t="s">
        <v>55</v>
      </c>
      <c r="K196" t="s">
        <v>71</v>
      </c>
      <c r="L196" t="s">
        <v>707</v>
      </c>
      <c r="M196" t="s">
        <v>64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125</v>
      </c>
      <c r="U196" t="s">
        <v>117</v>
      </c>
      <c r="V196" t="str">
        <f t="shared" si="29"/>
        <v>Valid</v>
      </c>
      <c r="W196">
        <f t="shared" si="30"/>
        <v>3</v>
      </c>
      <c r="Y196" t="str">
        <f t="shared" si="31"/>
        <v>OK</v>
      </c>
      <c r="Z196" t="str">
        <f t="shared" si="32"/>
        <v>OK</v>
      </c>
      <c r="AA196" t="str">
        <f t="shared" si="33"/>
        <v>OK</v>
      </c>
      <c r="AB196" t="str">
        <f t="shared" si="34"/>
        <v>Valid</v>
      </c>
      <c r="AC196" t="str">
        <f>IF(OR(AB196="Invalid Discount",V196="Invalid Shipping"),
"Invalid",
IF(OR(Y196="Missing Region",
Z196="Missing Ship Mode",
AA196="Missing Discount",
X196="Flagged for Review"),
"Warning",
"Clean"))</f>
        <v>Clean</v>
      </c>
      <c r="AD196">
        <f t="shared" si="35"/>
        <v>0.05</v>
      </c>
      <c r="AE196">
        <f>N196*O196*(1-AD196)</f>
        <v>7339.2344999999996</v>
      </c>
      <c r="AF196">
        <f>AE196-R196</f>
        <v>1905.1144999999997</v>
      </c>
      <c r="AG196" s="3">
        <f t="shared" si="36"/>
        <v>0.25957945614082772</v>
      </c>
      <c r="AH196" t="str">
        <f t="shared" si="37"/>
        <v>January</v>
      </c>
      <c r="AI196">
        <f t="shared" si="38"/>
        <v>2025</v>
      </c>
    </row>
    <row r="197" spans="1:35">
      <c r="A197" t="s">
        <v>708</v>
      </c>
      <c r="B197" s="2">
        <v>45860</v>
      </c>
      <c r="C197" s="2">
        <v>45862</v>
      </c>
      <c r="D197" t="s">
        <v>709</v>
      </c>
      <c r="E197" t="s">
        <v>93</v>
      </c>
      <c r="F197" t="s">
        <v>109</v>
      </c>
      <c r="G197" t="s">
        <v>68</v>
      </c>
      <c r="H197" t="s">
        <v>98</v>
      </c>
      <c r="I197" t="s">
        <v>99</v>
      </c>
      <c r="J197" t="s">
        <v>55</v>
      </c>
      <c r="K197" t="s">
        <v>71</v>
      </c>
      <c r="L197" t="s">
        <v>710</v>
      </c>
      <c r="M197" t="s">
        <v>58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46</v>
      </c>
      <c r="U197" t="s">
        <v>47</v>
      </c>
      <c r="V197" t="str">
        <f t="shared" si="29"/>
        <v>Valid</v>
      </c>
      <c r="W197">
        <f t="shared" si="30"/>
        <v>2</v>
      </c>
      <c r="Y197" t="str">
        <f t="shared" si="31"/>
        <v>OK</v>
      </c>
      <c r="Z197" t="str">
        <f t="shared" si="32"/>
        <v>OK</v>
      </c>
      <c r="AA197" t="str">
        <f t="shared" si="33"/>
        <v>OK</v>
      </c>
      <c r="AB197" t="str">
        <f t="shared" si="34"/>
        <v>Valid</v>
      </c>
      <c r="AC197" t="str">
        <f>IF(OR(AB197="Invalid Discount",V197="Invalid Shipping"),
"Invalid",
IF(OR(Y197="Missing Region",
Z197="Missing Ship Mode",
AA197="Missing Discount",
X197="Flagged for Review"),
"Warning",
"Clean"))</f>
        <v>Clean</v>
      </c>
      <c r="AD197">
        <f t="shared" si="35"/>
        <v>0</v>
      </c>
      <c r="AE197">
        <f>N197*O197*(1-AD197)</f>
        <v>9614.15</v>
      </c>
      <c r="AF197">
        <f>AE197-R197</f>
        <v>2037.3099999999995</v>
      </c>
      <c r="AG197" s="3">
        <f t="shared" si="36"/>
        <v>0.21190744891644084</v>
      </c>
      <c r="AH197" t="str">
        <f t="shared" si="37"/>
        <v>July</v>
      </c>
      <c r="AI197">
        <f t="shared" si="38"/>
        <v>2025</v>
      </c>
    </row>
    <row r="198" spans="1:35">
      <c r="A198" t="s">
        <v>711</v>
      </c>
      <c r="B198" s="2">
        <v>45313</v>
      </c>
      <c r="C198" s="2">
        <v>45316</v>
      </c>
      <c r="D198" t="s">
        <v>712</v>
      </c>
      <c r="E198" t="s">
        <v>279</v>
      </c>
      <c r="F198" t="s">
        <v>109</v>
      </c>
      <c r="G198" t="s">
        <v>39</v>
      </c>
      <c r="H198" t="s">
        <v>150</v>
      </c>
      <c r="I198" t="s">
        <v>151</v>
      </c>
      <c r="J198" t="s">
        <v>42</v>
      </c>
      <c r="K198" t="s">
        <v>138</v>
      </c>
      <c r="L198" t="s">
        <v>713</v>
      </c>
      <c r="M198" t="s">
        <v>64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46</v>
      </c>
      <c r="U198" t="s">
        <v>47</v>
      </c>
      <c r="V198" t="str">
        <f t="shared" si="29"/>
        <v>Valid</v>
      </c>
      <c r="W198">
        <f t="shared" si="30"/>
        <v>3</v>
      </c>
      <c r="Y198" t="str">
        <f t="shared" si="31"/>
        <v>OK</v>
      </c>
      <c r="Z198" t="str">
        <f t="shared" si="32"/>
        <v>OK</v>
      </c>
      <c r="AA198" t="str">
        <f t="shared" si="33"/>
        <v>OK</v>
      </c>
      <c r="AB198" t="str">
        <f t="shared" si="34"/>
        <v>Valid</v>
      </c>
      <c r="AC198" t="str">
        <f>IF(OR(AB198="Invalid Discount",V198="Invalid Shipping"),
"Invalid",
IF(OR(Y198="Missing Region",
Z198="Missing Ship Mode",
AA198="Missing Discount",
X198="Flagged for Review"),
"Warning",
"Clean"))</f>
        <v>Clean</v>
      </c>
      <c r="AD198">
        <f t="shared" si="35"/>
        <v>0.1</v>
      </c>
      <c r="AE198">
        <f>N198*O198*(1-AD198)</f>
        <v>3272.4810000000002</v>
      </c>
      <c r="AF198">
        <f>AE198-R198</f>
        <v>755.04100000000017</v>
      </c>
      <c r="AG198" s="3">
        <f t="shared" si="36"/>
        <v>0.23072433422837293</v>
      </c>
      <c r="AH198" t="str">
        <f t="shared" si="37"/>
        <v>January</v>
      </c>
      <c r="AI198">
        <f t="shared" si="38"/>
        <v>2024</v>
      </c>
    </row>
    <row r="199" spans="1:35">
      <c r="A199" t="s">
        <v>714</v>
      </c>
      <c r="B199" s="2">
        <v>45747</v>
      </c>
      <c r="C199" s="2">
        <v>45754</v>
      </c>
      <c r="D199" t="s">
        <v>406</v>
      </c>
      <c r="E199" t="s">
        <v>132</v>
      </c>
      <c r="F199" t="s">
        <v>51</v>
      </c>
      <c r="G199" t="s">
        <v>52</v>
      </c>
      <c r="H199" t="s">
        <v>159</v>
      </c>
      <c r="I199" t="s">
        <v>160</v>
      </c>
      <c r="J199" t="s">
        <v>42</v>
      </c>
      <c r="K199" t="s">
        <v>138</v>
      </c>
      <c r="L199" t="s">
        <v>715</v>
      </c>
      <c r="M199" t="s">
        <v>45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46</v>
      </c>
      <c r="U199" t="s">
        <v>47</v>
      </c>
      <c r="V199" t="str">
        <f t="shared" si="29"/>
        <v>Valid</v>
      </c>
      <c r="W199">
        <f t="shared" si="30"/>
        <v>7</v>
      </c>
      <c r="Y199" t="str">
        <f t="shared" si="31"/>
        <v>OK</v>
      </c>
      <c r="Z199" t="str">
        <f t="shared" si="32"/>
        <v>OK</v>
      </c>
      <c r="AA199" t="str">
        <f t="shared" si="33"/>
        <v>OK</v>
      </c>
      <c r="AB199" t="str">
        <f t="shared" si="34"/>
        <v>Valid</v>
      </c>
      <c r="AC199" t="str">
        <f>IF(OR(AB199="Invalid Discount",V199="Invalid Shipping"),
"Invalid",
IF(OR(Y199="Missing Region",
Z199="Missing Ship Mode",
AA199="Missing Discount",
X199="Flagged for Review"),
"Warning",
"Clean"))</f>
        <v>Clean</v>
      </c>
      <c r="AD199">
        <f t="shared" si="35"/>
        <v>0.15</v>
      </c>
      <c r="AE199">
        <f>N199*O199*(1-AD199)</f>
        <v>17409.869999999995</v>
      </c>
      <c r="AF199">
        <f>AE199-R199</f>
        <v>3333.6199999999953</v>
      </c>
      <c r="AG199" s="3">
        <f t="shared" si="36"/>
        <v>0.19147874165631312</v>
      </c>
      <c r="AH199" t="str">
        <f t="shared" si="37"/>
        <v>March</v>
      </c>
      <c r="AI199">
        <f t="shared" si="38"/>
        <v>2025</v>
      </c>
    </row>
    <row r="200" spans="1:35">
      <c r="A200" t="s">
        <v>716</v>
      </c>
      <c r="B200" s="2">
        <v>45448</v>
      </c>
      <c r="C200" s="2">
        <v>45449</v>
      </c>
      <c r="D200" t="s">
        <v>717</v>
      </c>
      <c r="E200" t="s">
        <v>146</v>
      </c>
      <c r="F200" t="s">
        <v>38</v>
      </c>
      <c r="G200" t="s">
        <v>77</v>
      </c>
      <c r="H200" t="s">
        <v>194</v>
      </c>
      <c r="I200" t="s">
        <v>195</v>
      </c>
      <c r="J200" t="s">
        <v>42</v>
      </c>
      <c r="K200" t="s">
        <v>62</v>
      </c>
      <c r="L200" t="s">
        <v>718</v>
      </c>
      <c r="M200" t="s">
        <v>45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169</v>
      </c>
      <c r="U200" t="s">
        <v>82</v>
      </c>
      <c r="V200" t="str">
        <f t="shared" si="29"/>
        <v>Valid</v>
      </c>
      <c r="W200">
        <f t="shared" si="30"/>
        <v>1</v>
      </c>
      <c r="Y200" t="str">
        <f t="shared" si="31"/>
        <v>OK</v>
      </c>
      <c r="Z200" t="str">
        <f t="shared" si="32"/>
        <v>OK</v>
      </c>
      <c r="AA200" t="str">
        <f t="shared" si="33"/>
        <v>OK</v>
      </c>
      <c r="AB200" t="str">
        <f t="shared" si="34"/>
        <v>Valid</v>
      </c>
      <c r="AC200" t="str">
        <f>IF(OR(AB200="Invalid Discount",V200="Invalid Shipping"),
"Invalid",
IF(OR(Y200="Missing Region",
Z200="Missing Ship Mode",
AA200="Missing Discount",
X200="Flagged for Review"),
"Warning",
"Clean"))</f>
        <v>Clean</v>
      </c>
      <c r="AD200">
        <f t="shared" si="35"/>
        <v>0.05</v>
      </c>
      <c r="AE200">
        <f>N200*O200*(1-AD200)</f>
        <v>1125.3509999999999</v>
      </c>
      <c r="AF200">
        <f>AE200-R200</f>
        <v>448.38099999999986</v>
      </c>
      <c r="AG200" s="3">
        <f t="shared" si="36"/>
        <v>0.39843657667696558</v>
      </c>
      <c r="AH200" t="str">
        <f t="shared" si="37"/>
        <v>June</v>
      </c>
      <c r="AI200">
        <f t="shared" si="38"/>
        <v>2024</v>
      </c>
    </row>
    <row r="201" spans="1:35">
      <c r="A201" t="s">
        <v>719</v>
      </c>
      <c r="B201" s="2">
        <v>45363</v>
      </c>
      <c r="C201" s="2">
        <v>45363</v>
      </c>
      <c r="D201" t="s">
        <v>720</v>
      </c>
      <c r="E201" t="s">
        <v>132</v>
      </c>
      <c r="F201" t="s">
        <v>109</v>
      </c>
      <c r="G201" t="s">
        <v>52</v>
      </c>
      <c r="H201" t="s">
        <v>159</v>
      </c>
      <c r="I201" t="s">
        <v>160</v>
      </c>
      <c r="J201" t="s">
        <v>88</v>
      </c>
      <c r="K201" t="s">
        <v>289</v>
      </c>
      <c r="L201" t="s">
        <v>721</v>
      </c>
      <c r="M201" t="s">
        <v>219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46</v>
      </c>
      <c r="U201" t="s">
        <v>47</v>
      </c>
      <c r="V201" t="str">
        <f t="shared" si="29"/>
        <v>Valid</v>
      </c>
      <c r="W201">
        <f t="shared" si="30"/>
        <v>0</v>
      </c>
      <c r="Y201" t="str">
        <f t="shared" si="31"/>
        <v>OK</v>
      </c>
      <c r="Z201" t="str">
        <f t="shared" si="32"/>
        <v>Missing Ship Mode</v>
      </c>
      <c r="AA201" t="str">
        <f t="shared" si="33"/>
        <v>OK</v>
      </c>
      <c r="AB201" t="str">
        <f t="shared" si="34"/>
        <v>Valid</v>
      </c>
      <c r="AC201" t="str">
        <f>IF(OR(AB201="Invalid Discount",V201="Invalid Shipping"),
"Invalid",
IF(OR(Y201="Missing Region",
Z201="Missing Ship Mode",
AA201="Missing Discount",
X201="Flagged for Review"),
"Warning",
"Clean"))</f>
        <v>Warning</v>
      </c>
      <c r="AD201">
        <f t="shared" si="35"/>
        <v>0.25</v>
      </c>
      <c r="AE201">
        <f>N201*O201*(1-AD201)</f>
        <v>9835.11</v>
      </c>
      <c r="AF201">
        <f>AE201-R201</f>
        <v>4397.47</v>
      </c>
      <c r="AG201" s="3">
        <f t="shared" si="36"/>
        <v>0.44711955433136996</v>
      </c>
      <c r="AH201" t="str">
        <f t="shared" si="37"/>
        <v>March</v>
      </c>
      <c r="AI201">
        <f t="shared" si="38"/>
        <v>2024</v>
      </c>
    </row>
    <row r="202" spans="1:35">
      <c r="A202" t="s">
        <v>722</v>
      </c>
      <c r="B202" s="2">
        <v>45835</v>
      </c>
      <c r="C202" s="2">
        <v>45843</v>
      </c>
      <c r="D202" t="s">
        <v>723</v>
      </c>
      <c r="E202" t="s">
        <v>128</v>
      </c>
      <c r="F202" t="s">
        <v>51</v>
      </c>
      <c r="G202" t="s">
        <v>39</v>
      </c>
      <c r="H202" t="s">
        <v>40</v>
      </c>
      <c r="I202" t="s">
        <v>41</v>
      </c>
      <c r="J202" t="s">
        <v>88</v>
      </c>
      <c r="K202" t="s">
        <v>94</v>
      </c>
      <c r="L202" t="s">
        <v>724</v>
      </c>
      <c r="M202" t="s">
        <v>64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125</v>
      </c>
      <c r="U202" t="s">
        <v>82</v>
      </c>
      <c r="V202" t="str">
        <f t="shared" si="29"/>
        <v>Valid</v>
      </c>
      <c r="W202">
        <f t="shared" si="30"/>
        <v>8</v>
      </c>
      <c r="Y202" t="str">
        <f t="shared" si="31"/>
        <v>OK</v>
      </c>
      <c r="Z202" t="str">
        <f t="shared" si="32"/>
        <v>OK</v>
      </c>
      <c r="AA202" t="str">
        <f t="shared" si="33"/>
        <v>OK</v>
      </c>
      <c r="AB202" t="str">
        <f t="shared" si="34"/>
        <v>Valid</v>
      </c>
      <c r="AC202" t="str">
        <f>IF(OR(AB202="Invalid Discount",V202="Invalid Shipping"),
"Invalid",
IF(OR(Y202="Missing Region",
Z202="Missing Ship Mode",
AA202="Missing Discount",
X202="Flagged for Review"),
"Warning",
"Clean"))</f>
        <v>Clean</v>
      </c>
      <c r="AD202">
        <f t="shared" si="35"/>
        <v>0.1</v>
      </c>
      <c r="AE202">
        <f>N202*O202*(1-AD202)</f>
        <v>12907.980000000001</v>
      </c>
      <c r="AF202">
        <f>AE202-R202</f>
        <v>3710.9000000000015</v>
      </c>
      <c r="AG202" s="3">
        <f t="shared" si="36"/>
        <v>0.28748882474252369</v>
      </c>
      <c r="AH202" t="str">
        <f t="shared" si="37"/>
        <v>June</v>
      </c>
      <c r="AI202">
        <f t="shared" si="38"/>
        <v>2025</v>
      </c>
    </row>
    <row r="203" spans="1:35">
      <c r="A203" t="s">
        <v>725</v>
      </c>
      <c r="B203" s="2">
        <v>45864</v>
      </c>
      <c r="C203" s="2">
        <v>45872</v>
      </c>
      <c r="D203" t="s">
        <v>726</v>
      </c>
      <c r="E203" t="s">
        <v>85</v>
      </c>
      <c r="F203" t="s">
        <v>38</v>
      </c>
      <c r="G203" t="s">
        <v>77</v>
      </c>
      <c r="H203" t="s">
        <v>86</v>
      </c>
      <c r="I203" t="s">
        <v>87</v>
      </c>
      <c r="J203" t="s">
        <v>42</v>
      </c>
      <c r="K203" t="s">
        <v>105</v>
      </c>
      <c r="L203" t="s">
        <v>727</v>
      </c>
      <c r="M203" t="s">
        <v>45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116</v>
      </c>
      <c r="U203" t="s">
        <v>82</v>
      </c>
      <c r="V203" t="str">
        <f t="shared" si="29"/>
        <v>Valid</v>
      </c>
      <c r="W203">
        <f t="shared" si="30"/>
        <v>8</v>
      </c>
      <c r="Y203" t="str">
        <f t="shared" si="31"/>
        <v>OK</v>
      </c>
      <c r="Z203" t="str">
        <f t="shared" si="32"/>
        <v>OK</v>
      </c>
      <c r="AA203" t="str">
        <f t="shared" si="33"/>
        <v>OK</v>
      </c>
      <c r="AB203" t="str">
        <f t="shared" si="34"/>
        <v>Invalid Discount</v>
      </c>
      <c r="AC203" t="str">
        <f>IF(OR(AB203="Invalid Discount",V203="Invalid Shipping"),
"Invalid",
IF(OR(Y203="Missing Region",
Z203="Missing Ship Mode",
AA203="Missing Discount",
X203="Flagged for Review"),
"Warning",
"Clean"))</f>
        <v>Invalid</v>
      </c>
      <c r="AD203">
        <f t="shared" si="35"/>
        <v>-0.16</v>
      </c>
      <c r="AE203">
        <f>N203*O203*(1-AD203)</f>
        <v>5808.1895999999997</v>
      </c>
      <c r="AF203">
        <f>AE203-R203</f>
        <v>2853.3295999999996</v>
      </c>
      <c r="AG203" s="3">
        <f t="shared" si="36"/>
        <v>0.49125972058487893</v>
      </c>
      <c r="AH203" t="str">
        <f t="shared" si="37"/>
        <v>July</v>
      </c>
      <c r="AI203">
        <f t="shared" si="38"/>
        <v>2025</v>
      </c>
    </row>
    <row r="204" spans="1:35">
      <c r="A204" t="s">
        <v>728</v>
      </c>
      <c r="B204" s="2">
        <v>45744</v>
      </c>
      <c r="C204" s="2">
        <v>45744</v>
      </c>
      <c r="D204" t="s">
        <v>729</v>
      </c>
      <c r="E204" t="s">
        <v>146</v>
      </c>
      <c r="F204" t="s">
        <v>104</v>
      </c>
      <c r="G204" t="s">
        <v>77</v>
      </c>
      <c r="H204" t="s">
        <v>204</v>
      </c>
      <c r="I204" t="s">
        <v>205</v>
      </c>
      <c r="J204" t="s">
        <v>88</v>
      </c>
      <c r="K204" t="s">
        <v>89</v>
      </c>
      <c r="L204" t="s">
        <v>730</v>
      </c>
      <c r="M204" t="s">
        <v>73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46</v>
      </c>
      <c r="U204" t="s">
        <v>47</v>
      </c>
      <c r="V204" t="str">
        <f t="shared" si="29"/>
        <v>Valid</v>
      </c>
      <c r="W204">
        <f t="shared" si="30"/>
        <v>0</v>
      </c>
      <c r="Y204" t="str">
        <f t="shared" si="31"/>
        <v>OK</v>
      </c>
      <c r="Z204" t="str">
        <f t="shared" si="32"/>
        <v>OK</v>
      </c>
      <c r="AA204" t="str">
        <f t="shared" si="33"/>
        <v>OK</v>
      </c>
      <c r="AB204" t="str">
        <f t="shared" si="34"/>
        <v>Valid</v>
      </c>
      <c r="AC204" t="str">
        <f>IF(OR(AB204="Invalid Discount",V204="Invalid Shipping"),
"Invalid",
IF(OR(Y204="Missing Region",
Z204="Missing Ship Mode",
AA204="Missing Discount",
X204="Flagged for Review"),
"Warning",
"Clean"))</f>
        <v>Clean</v>
      </c>
      <c r="AD204">
        <f t="shared" si="35"/>
        <v>0.05</v>
      </c>
      <c r="AE204">
        <f>N204*O204*(1-AD204)</f>
        <v>13231.144</v>
      </c>
      <c r="AF204">
        <f>AE204-R204</f>
        <v>1941.0840000000007</v>
      </c>
      <c r="AG204" s="3">
        <f t="shared" si="36"/>
        <v>0.14670568168557463</v>
      </c>
      <c r="AH204" t="str">
        <f t="shared" si="37"/>
        <v>March</v>
      </c>
      <c r="AI204">
        <f t="shared" si="38"/>
        <v>2025</v>
      </c>
    </row>
    <row r="205" spans="1:35">
      <c r="A205" t="s">
        <v>731</v>
      </c>
      <c r="B205" s="2">
        <v>45379</v>
      </c>
      <c r="C205" s="2">
        <v>45381</v>
      </c>
      <c r="D205" t="s">
        <v>732</v>
      </c>
      <c r="E205" t="s">
        <v>146</v>
      </c>
      <c r="F205" t="s">
        <v>104</v>
      </c>
      <c r="G205" t="s">
        <v>77</v>
      </c>
      <c r="H205" t="s">
        <v>40</v>
      </c>
      <c r="I205" t="s">
        <v>123</v>
      </c>
      <c r="J205" t="s">
        <v>88</v>
      </c>
      <c r="K205" t="s">
        <v>89</v>
      </c>
      <c r="L205" t="s">
        <v>733</v>
      </c>
      <c r="M205" t="s">
        <v>45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46</v>
      </c>
      <c r="U205" t="s">
        <v>47</v>
      </c>
      <c r="V205" t="str">
        <f t="shared" si="29"/>
        <v>Valid</v>
      </c>
      <c r="W205">
        <f t="shared" si="30"/>
        <v>2</v>
      </c>
      <c r="Y205" t="str">
        <f t="shared" si="31"/>
        <v>OK</v>
      </c>
      <c r="Z205" t="str">
        <f t="shared" si="32"/>
        <v>OK</v>
      </c>
      <c r="AA205" t="str">
        <f t="shared" si="33"/>
        <v>OK</v>
      </c>
      <c r="AB205" t="str">
        <f t="shared" si="34"/>
        <v>Valid</v>
      </c>
      <c r="AC205" t="str">
        <f>IF(OR(AB205="Invalid Discount",V205="Invalid Shipping"),
"Invalid",
IF(OR(Y205="Missing Region",
Z205="Missing Ship Mode",
AA205="Missing Discount",
X205="Flagged for Review"),
"Warning",
"Clean"))</f>
        <v>Clean</v>
      </c>
      <c r="AD205">
        <f t="shared" si="35"/>
        <v>0.15</v>
      </c>
      <c r="AE205">
        <f>N205*O205*(1-AD205)</f>
        <v>484.78899999999999</v>
      </c>
      <c r="AF205">
        <f>AE205-R205</f>
        <v>151.24899999999997</v>
      </c>
      <c r="AG205" s="3">
        <f t="shared" si="36"/>
        <v>0.3119893396921134</v>
      </c>
      <c r="AH205" t="str">
        <f t="shared" si="37"/>
        <v>March</v>
      </c>
      <c r="AI205">
        <f t="shared" si="38"/>
        <v>2024</v>
      </c>
    </row>
    <row r="206" spans="1:35">
      <c r="A206" t="s">
        <v>734</v>
      </c>
      <c r="B206" s="2">
        <v>45858</v>
      </c>
      <c r="C206" s="2">
        <v>45861</v>
      </c>
      <c r="D206" t="s">
        <v>735</v>
      </c>
      <c r="E206" t="s">
        <v>50</v>
      </c>
      <c r="F206" t="s">
        <v>109</v>
      </c>
      <c r="G206" t="s">
        <v>52</v>
      </c>
      <c r="H206" t="s">
        <v>113</v>
      </c>
      <c r="I206" t="s">
        <v>114</v>
      </c>
      <c r="J206" t="s">
        <v>55</v>
      </c>
      <c r="K206" t="s">
        <v>56</v>
      </c>
      <c r="L206" t="s">
        <v>736</v>
      </c>
      <c r="M206" t="s">
        <v>45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46</v>
      </c>
      <c r="U206" t="s">
        <v>47</v>
      </c>
      <c r="V206" t="str">
        <f t="shared" si="29"/>
        <v>Valid</v>
      </c>
      <c r="W206">
        <f t="shared" si="30"/>
        <v>3</v>
      </c>
      <c r="Y206" t="str">
        <f t="shared" si="31"/>
        <v>OK</v>
      </c>
      <c r="Z206" t="str">
        <f t="shared" si="32"/>
        <v>OK</v>
      </c>
      <c r="AA206" t="str">
        <f t="shared" si="33"/>
        <v>OK</v>
      </c>
      <c r="AB206" t="str">
        <f t="shared" si="34"/>
        <v>Valid</v>
      </c>
      <c r="AC206" t="str">
        <f>IF(OR(AB206="Invalid Discount",V206="Invalid Shipping"),
"Invalid",
IF(OR(Y206="Missing Region",
Z206="Missing Ship Mode",
AA206="Missing Discount",
X206="Flagged for Review"),
"Warning",
"Clean"))</f>
        <v>Clean</v>
      </c>
      <c r="AD206">
        <f t="shared" si="35"/>
        <v>0.15</v>
      </c>
      <c r="AE206">
        <f>N206*O206*(1-AD206)</f>
        <v>1624.146</v>
      </c>
      <c r="AF206">
        <f>AE206-R206</f>
        <v>406.15599999999995</v>
      </c>
      <c r="AG206" s="3">
        <f t="shared" si="36"/>
        <v>0.25007357712914968</v>
      </c>
      <c r="AH206" t="str">
        <f t="shared" si="37"/>
        <v>July</v>
      </c>
      <c r="AI206">
        <f t="shared" si="38"/>
        <v>2025</v>
      </c>
    </row>
    <row r="207" spans="1:35">
      <c r="A207" t="s">
        <v>737</v>
      </c>
      <c r="B207" s="2">
        <v>45768</v>
      </c>
      <c r="C207" s="2">
        <v>45773</v>
      </c>
      <c r="D207" t="s">
        <v>738</v>
      </c>
      <c r="E207" t="s">
        <v>76</v>
      </c>
      <c r="F207" t="s">
        <v>38</v>
      </c>
      <c r="G207" t="s">
        <v>77</v>
      </c>
      <c r="H207" t="s">
        <v>78</v>
      </c>
      <c r="I207" t="s">
        <v>79</v>
      </c>
      <c r="J207" t="s">
        <v>42</v>
      </c>
      <c r="K207" t="s">
        <v>105</v>
      </c>
      <c r="L207" t="s">
        <v>739</v>
      </c>
      <c r="M207" t="s">
        <v>58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46</v>
      </c>
      <c r="U207" t="s">
        <v>47</v>
      </c>
      <c r="V207" t="str">
        <f t="shared" si="29"/>
        <v>Valid</v>
      </c>
      <c r="W207">
        <f t="shared" si="30"/>
        <v>5</v>
      </c>
      <c r="Y207" t="str">
        <f t="shared" si="31"/>
        <v>OK</v>
      </c>
      <c r="Z207" t="str">
        <f t="shared" si="32"/>
        <v>OK</v>
      </c>
      <c r="AA207" t="str">
        <f t="shared" si="33"/>
        <v>OK</v>
      </c>
      <c r="AB207" t="str">
        <f t="shared" si="34"/>
        <v>Valid</v>
      </c>
      <c r="AC207" t="str">
        <f>IF(OR(AB207="Invalid Discount",V207="Invalid Shipping"),
"Invalid",
IF(OR(Y207="Missing Region",
Z207="Missing Ship Mode",
AA207="Missing Discount",
X207="Flagged for Review"),
"Warning",
"Clean"))</f>
        <v>Clean</v>
      </c>
      <c r="AD207">
        <f t="shared" si="35"/>
        <v>0.2</v>
      </c>
      <c r="AE207">
        <f>N207*O207*(1-AD207)</f>
        <v>4193.232</v>
      </c>
      <c r="AF207">
        <f>AE207-R207</f>
        <v>863.24200000000019</v>
      </c>
      <c r="AG207" s="3">
        <f t="shared" si="36"/>
        <v>0.2058655471483572</v>
      </c>
      <c r="AH207" t="str">
        <f t="shared" si="37"/>
        <v>April</v>
      </c>
      <c r="AI207">
        <f t="shared" si="38"/>
        <v>2025</v>
      </c>
    </row>
    <row r="208" spans="1:35">
      <c r="A208" t="s">
        <v>740</v>
      </c>
      <c r="B208" s="2">
        <v>45795</v>
      </c>
      <c r="C208" s="2">
        <v>45797</v>
      </c>
      <c r="D208" t="s">
        <v>741</v>
      </c>
      <c r="E208" t="s">
        <v>176</v>
      </c>
      <c r="F208" t="s">
        <v>51</v>
      </c>
      <c r="G208" t="s">
        <v>39</v>
      </c>
      <c r="H208" t="s">
        <v>150</v>
      </c>
      <c r="I208" t="s">
        <v>151</v>
      </c>
      <c r="J208" t="s">
        <v>55</v>
      </c>
      <c r="K208" t="s">
        <v>71</v>
      </c>
      <c r="L208" t="s">
        <v>742</v>
      </c>
      <c r="M208" t="s">
        <v>64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46</v>
      </c>
      <c r="U208" t="s">
        <v>47</v>
      </c>
      <c r="V208" t="str">
        <f t="shared" si="29"/>
        <v>Valid</v>
      </c>
      <c r="W208">
        <f t="shared" si="30"/>
        <v>2</v>
      </c>
      <c r="Y208" t="str">
        <f t="shared" si="31"/>
        <v>OK</v>
      </c>
      <c r="Z208" t="str">
        <f t="shared" si="32"/>
        <v>OK</v>
      </c>
      <c r="AA208" t="str">
        <f t="shared" si="33"/>
        <v>OK</v>
      </c>
      <c r="AB208" t="str">
        <f t="shared" si="34"/>
        <v>Valid</v>
      </c>
      <c r="AC208" t="str">
        <f>IF(OR(AB208="Invalid Discount",V208="Invalid Shipping"),
"Invalid",
IF(OR(Y208="Missing Region",
Z208="Missing Ship Mode",
AA208="Missing Discount",
X208="Flagged for Review"),
"Warning",
"Clean"))</f>
        <v>Clean</v>
      </c>
      <c r="AD208">
        <f t="shared" si="35"/>
        <v>0</v>
      </c>
      <c r="AE208">
        <f>N208*O208*(1-AD208)</f>
        <v>430.26</v>
      </c>
      <c r="AF208">
        <f>AE208-R208</f>
        <v>143.88</v>
      </c>
      <c r="AG208" s="3">
        <f t="shared" si="36"/>
        <v>0.33440245432994004</v>
      </c>
      <c r="AH208" t="str">
        <f t="shared" si="37"/>
        <v>May</v>
      </c>
      <c r="AI208">
        <f t="shared" si="38"/>
        <v>2025</v>
      </c>
    </row>
    <row r="209" spans="1:35">
      <c r="A209" t="s">
        <v>743</v>
      </c>
      <c r="B209" s="2">
        <v>45483</v>
      </c>
      <c r="C209" s="2">
        <v>45489</v>
      </c>
      <c r="D209" t="s">
        <v>744</v>
      </c>
      <c r="E209" t="s">
        <v>142</v>
      </c>
      <c r="F209" t="s">
        <v>109</v>
      </c>
      <c r="G209" t="s">
        <v>77</v>
      </c>
      <c r="H209" t="s">
        <v>204</v>
      </c>
      <c r="I209" t="s">
        <v>205</v>
      </c>
      <c r="J209" t="s">
        <v>55</v>
      </c>
      <c r="K209" t="s">
        <v>172</v>
      </c>
      <c r="L209" t="s">
        <v>745</v>
      </c>
      <c r="M209" t="s">
        <v>45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46</v>
      </c>
      <c r="U209" t="s">
        <v>47</v>
      </c>
      <c r="V209" t="str">
        <f t="shared" si="29"/>
        <v>Valid</v>
      </c>
      <c r="W209">
        <f t="shared" si="30"/>
        <v>6</v>
      </c>
      <c r="Y209" t="str">
        <f t="shared" si="31"/>
        <v>OK</v>
      </c>
      <c r="Z209" t="str">
        <f t="shared" si="32"/>
        <v>OK</v>
      </c>
      <c r="AA209" t="str">
        <f t="shared" si="33"/>
        <v>OK</v>
      </c>
      <c r="AB209" t="str">
        <f t="shared" si="34"/>
        <v>Valid</v>
      </c>
      <c r="AC209" t="str">
        <f>IF(OR(AB209="Invalid Discount",V209="Invalid Shipping"),
"Invalid",
IF(OR(Y209="Missing Region",
Z209="Missing Ship Mode",
AA209="Missing Discount",
X209="Flagged for Review"),
"Warning",
"Clean"))</f>
        <v>Clean</v>
      </c>
      <c r="AD209">
        <f t="shared" si="35"/>
        <v>0.2</v>
      </c>
      <c r="AE209">
        <f>N209*O209*(1-AD209)</f>
        <v>1752.7200000000003</v>
      </c>
      <c r="AF209">
        <f>AE209-R209</f>
        <v>756.31000000000029</v>
      </c>
      <c r="AG209" s="3">
        <f t="shared" si="36"/>
        <v>0.43150645853302305</v>
      </c>
      <c r="AH209" t="str">
        <f t="shared" si="37"/>
        <v>July</v>
      </c>
      <c r="AI209">
        <f t="shared" si="38"/>
        <v>2024</v>
      </c>
    </row>
    <row r="210" spans="1:35">
      <c r="A210" t="s">
        <v>746</v>
      </c>
      <c r="B210" s="2">
        <v>45837</v>
      </c>
      <c r="C210" s="2">
        <v>45843</v>
      </c>
      <c r="D210" t="s">
        <v>747</v>
      </c>
      <c r="E210" t="s">
        <v>176</v>
      </c>
      <c r="F210" t="s">
        <v>38</v>
      </c>
      <c r="G210" t="s">
        <v>39</v>
      </c>
      <c r="H210" t="s">
        <v>136</v>
      </c>
      <c r="I210" t="s">
        <v>137</v>
      </c>
      <c r="J210" t="s">
        <v>55</v>
      </c>
      <c r="K210" t="s">
        <v>80</v>
      </c>
      <c r="L210" t="s">
        <v>748</v>
      </c>
      <c r="M210" t="s">
        <v>58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46</v>
      </c>
      <c r="U210" t="s">
        <v>47</v>
      </c>
      <c r="V210" t="str">
        <f t="shared" si="29"/>
        <v>Valid</v>
      </c>
      <c r="W210">
        <f t="shared" si="30"/>
        <v>6</v>
      </c>
      <c r="Y210" t="str">
        <f t="shared" si="31"/>
        <v>OK</v>
      </c>
      <c r="Z210" t="str">
        <f t="shared" si="32"/>
        <v>OK</v>
      </c>
      <c r="AA210" t="str">
        <f t="shared" si="33"/>
        <v>OK</v>
      </c>
      <c r="AB210" t="str">
        <f t="shared" si="34"/>
        <v>Valid</v>
      </c>
      <c r="AC210" t="str">
        <f>IF(OR(AB210="Invalid Discount",V210="Invalid Shipping"),
"Invalid",
IF(OR(Y210="Missing Region",
Z210="Missing Ship Mode",
AA210="Missing Discount",
X210="Flagged for Review"),
"Warning",
"Clean"))</f>
        <v>Clean</v>
      </c>
      <c r="AD210">
        <f t="shared" si="35"/>
        <v>0</v>
      </c>
      <c r="AE210">
        <f>N210*O210*(1-AD210)</f>
        <v>999.83</v>
      </c>
      <c r="AF210">
        <f>AE210-R210</f>
        <v>364.92000000000007</v>
      </c>
      <c r="AG210" s="3">
        <f t="shared" si="36"/>
        <v>0.3649820469479812</v>
      </c>
      <c r="AH210" t="str">
        <f t="shared" si="37"/>
        <v>June</v>
      </c>
      <c r="AI210">
        <f t="shared" si="38"/>
        <v>2025</v>
      </c>
    </row>
    <row r="211" spans="1:35">
      <c r="A211" t="s">
        <v>749</v>
      </c>
      <c r="B211" s="2">
        <v>45882</v>
      </c>
      <c r="C211" s="2">
        <v>45883</v>
      </c>
      <c r="D211" t="s">
        <v>750</v>
      </c>
      <c r="E211" t="s">
        <v>155</v>
      </c>
      <c r="F211" t="s">
        <v>51</v>
      </c>
      <c r="G211" t="s">
        <v>68</v>
      </c>
      <c r="H211" t="s">
        <v>98</v>
      </c>
      <c r="I211" t="s">
        <v>99</v>
      </c>
      <c r="J211" t="s">
        <v>42</v>
      </c>
      <c r="K211" t="s">
        <v>43</v>
      </c>
      <c r="L211" t="s">
        <v>751</v>
      </c>
      <c r="M211" t="s">
        <v>64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46</v>
      </c>
      <c r="U211" t="s">
        <v>47</v>
      </c>
      <c r="V211" t="str">
        <f t="shared" si="29"/>
        <v>Valid</v>
      </c>
      <c r="W211">
        <f t="shared" si="30"/>
        <v>1</v>
      </c>
      <c r="Y211" t="str">
        <f t="shared" si="31"/>
        <v>OK</v>
      </c>
      <c r="Z211" t="str">
        <f t="shared" si="32"/>
        <v>OK</v>
      </c>
      <c r="AA211" t="str">
        <f t="shared" si="33"/>
        <v>OK</v>
      </c>
      <c r="AB211" t="str">
        <f t="shared" si="34"/>
        <v>Valid</v>
      </c>
      <c r="AC211" t="str">
        <f>IF(OR(AB211="Invalid Discount",V211="Invalid Shipping"),
"Invalid",
IF(OR(Y211="Missing Region",
Z211="Missing Ship Mode",
AA211="Missing Discount",
X211="Flagged for Review"),
"Warning",
"Clean"))</f>
        <v>Clean</v>
      </c>
      <c r="AD211">
        <f t="shared" si="35"/>
        <v>0.1</v>
      </c>
      <c r="AE211">
        <f>N211*O211*(1-AD211)</f>
        <v>7006.3379999999997</v>
      </c>
      <c r="AF211">
        <f>AE211-R211</f>
        <v>2365.4579999999996</v>
      </c>
      <c r="AG211" s="3">
        <f t="shared" si="36"/>
        <v>0.33761688345609359</v>
      </c>
      <c r="AH211" t="str">
        <f t="shared" si="37"/>
        <v>August</v>
      </c>
      <c r="AI211">
        <f t="shared" si="38"/>
        <v>2025</v>
      </c>
    </row>
    <row r="212" spans="1:35">
      <c r="A212" t="s">
        <v>752</v>
      </c>
      <c r="B212" s="2">
        <v>45366</v>
      </c>
      <c r="C212" s="2">
        <v>45369</v>
      </c>
      <c r="D212" t="s">
        <v>753</v>
      </c>
      <c r="E212" t="s">
        <v>279</v>
      </c>
      <c r="F212" t="s">
        <v>109</v>
      </c>
      <c r="G212" t="s">
        <v>68</v>
      </c>
      <c r="H212" t="s">
        <v>189</v>
      </c>
      <c r="I212" t="s">
        <v>190</v>
      </c>
      <c r="J212" t="s">
        <v>88</v>
      </c>
      <c r="K212" t="s">
        <v>289</v>
      </c>
      <c r="L212" t="s">
        <v>754</v>
      </c>
      <c r="M212" t="s">
        <v>45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169</v>
      </c>
      <c r="U212" t="s">
        <v>117</v>
      </c>
      <c r="V212" t="str">
        <f t="shared" si="29"/>
        <v>Valid</v>
      </c>
      <c r="W212">
        <f t="shared" si="30"/>
        <v>3</v>
      </c>
      <c r="Y212" t="str">
        <f t="shared" si="31"/>
        <v>OK</v>
      </c>
      <c r="Z212" t="str">
        <f t="shared" si="32"/>
        <v>OK</v>
      </c>
      <c r="AA212" t="str">
        <f t="shared" si="33"/>
        <v>OK</v>
      </c>
      <c r="AB212" t="str">
        <f t="shared" si="34"/>
        <v>Valid</v>
      </c>
      <c r="AC212" t="str">
        <f>IF(OR(AB212="Invalid Discount",V212="Invalid Shipping"),
"Invalid",
IF(OR(Y212="Missing Region",
Z212="Missing Ship Mode",
AA212="Missing Discount",
X212="Flagged for Review"),
"Warning",
"Clean"))</f>
        <v>Clean</v>
      </c>
      <c r="AD212">
        <f t="shared" si="35"/>
        <v>0</v>
      </c>
      <c r="AE212">
        <f>N212*O212*(1-AD212)</f>
        <v>4131.3599999999997</v>
      </c>
      <c r="AF212">
        <f>AE212-R212</f>
        <v>1194.2899999999995</v>
      </c>
      <c r="AG212" s="3">
        <f t="shared" si="36"/>
        <v>0.28907914100925591</v>
      </c>
      <c r="AH212" t="str">
        <f t="shared" si="37"/>
        <v>March</v>
      </c>
      <c r="AI212">
        <f t="shared" si="38"/>
        <v>2024</v>
      </c>
    </row>
    <row r="213" spans="1:35">
      <c r="A213" t="s">
        <v>755</v>
      </c>
      <c r="B213" s="2">
        <v>45428</v>
      </c>
      <c r="C213" s="2">
        <v>45429</v>
      </c>
      <c r="D213" t="s">
        <v>756</v>
      </c>
      <c r="E213" t="s">
        <v>155</v>
      </c>
      <c r="F213" t="s">
        <v>104</v>
      </c>
      <c r="G213" t="s">
        <v>52</v>
      </c>
      <c r="H213" t="s">
        <v>113</v>
      </c>
      <c r="I213" t="s">
        <v>114</v>
      </c>
      <c r="J213" t="s">
        <v>88</v>
      </c>
      <c r="K213" t="s">
        <v>94</v>
      </c>
      <c r="L213" t="s">
        <v>757</v>
      </c>
      <c r="M213" t="s">
        <v>45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46</v>
      </c>
      <c r="U213" t="s">
        <v>47</v>
      </c>
      <c r="V213" t="str">
        <f t="shared" si="29"/>
        <v>Valid</v>
      </c>
      <c r="W213">
        <f t="shared" si="30"/>
        <v>1</v>
      </c>
      <c r="Y213" t="str">
        <f t="shared" si="31"/>
        <v>OK</v>
      </c>
      <c r="Z213" t="str">
        <f t="shared" si="32"/>
        <v>OK</v>
      </c>
      <c r="AA213" t="str">
        <f t="shared" si="33"/>
        <v>OK</v>
      </c>
      <c r="AB213" t="str">
        <f t="shared" si="34"/>
        <v>Valid</v>
      </c>
      <c r="AC213" t="str">
        <f>IF(OR(AB213="Invalid Discount",V213="Invalid Shipping"),
"Invalid",
IF(OR(Y213="Missing Region",
Z213="Missing Ship Mode",
AA213="Missing Discount",
X213="Flagged for Review"),
"Warning",
"Clean"))</f>
        <v>Clean</v>
      </c>
      <c r="AD213">
        <f t="shared" si="35"/>
        <v>0.2</v>
      </c>
      <c r="AE213">
        <f>N213*O213*(1-AD213)</f>
        <v>27020.48</v>
      </c>
      <c r="AF213">
        <f>AE213-R213</f>
        <v>4135.239999999998</v>
      </c>
      <c r="AG213" s="3">
        <f t="shared" si="36"/>
        <v>0.15304095264036752</v>
      </c>
      <c r="AH213" t="str">
        <f t="shared" si="37"/>
        <v>May</v>
      </c>
      <c r="AI213">
        <f t="shared" si="38"/>
        <v>2024</v>
      </c>
    </row>
    <row r="214" spans="1:35">
      <c r="A214" t="s">
        <v>758</v>
      </c>
      <c r="B214" s="2">
        <v>45556</v>
      </c>
      <c r="C214" s="2">
        <v>45556</v>
      </c>
      <c r="D214" t="s">
        <v>759</v>
      </c>
      <c r="E214" t="s">
        <v>76</v>
      </c>
      <c r="F214" t="s">
        <v>51</v>
      </c>
      <c r="G214" t="s">
        <v>52</v>
      </c>
      <c r="H214" t="s">
        <v>53</v>
      </c>
      <c r="I214" t="s">
        <v>54</v>
      </c>
      <c r="J214" t="s">
        <v>88</v>
      </c>
      <c r="K214" t="s">
        <v>185</v>
      </c>
      <c r="L214" t="s">
        <v>760</v>
      </c>
      <c r="M214" t="s">
        <v>58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46</v>
      </c>
      <c r="U214" t="s">
        <v>47</v>
      </c>
      <c r="V214" t="str">
        <f t="shared" si="29"/>
        <v>Valid</v>
      </c>
      <c r="W214">
        <f t="shared" si="30"/>
        <v>0</v>
      </c>
      <c r="Y214" t="str">
        <f t="shared" si="31"/>
        <v>OK</v>
      </c>
      <c r="Z214" t="str">
        <f t="shared" si="32"/>
        <v>OK</v>
      </c>
      <c r="AA214" t="str">
        <f t="shared" si="33"/>
        <v>OK</v>
      </c>
      <c r="AB214" t="str">
        <f t="shared" si="34"/>
        <v>Valid</v>
      </c>
      <c r="AC214" t="str">
        <f>IF(OR(AB214="Invalid Discount",V214="Invalid Shipping"),
"Invalid",
IF(OR(Y214="Missing Region",
Z214="Missing Ship Mode",
AA214="Missing Discount",
X214="Flagged for Review"),
"Warning",
"Clean"))</f>
        <v>Clean</v>
      </c>
      <c r="AD214">
        <f t="shared" si="35"/>
        <v>0.15</v>
      </c>
      <c r="AE214">
        <f>N214*O214*(1-AD214)</f>
        <v>364.65</v>
      </c>
      <c r="AF214">
        <f>AE214-R214</f>
        <v>83.909999999999968</v>
      </c>
      <c r="AG214" s="3">
        <f t="shared" si="36"/>
        <v>0.23011106540518297</v>
      </c>
      <c r="AH214" t="str">
        <f t="shared" si="37"/>
        <v>September</v>
      </c>
      <c r="AI214">
        <f t="shared" si="38"/>
        <v>2024</v>
      </c>
    </row>
    <row r="215" spans="1:35">
      <c r="A215" t="s">
        <v>761</v>
      </c>
      <c r="B215" s="2">
        <v>45427</v>
      </c>
      <c r="C215" s="2">
        <v>45433</v>
      </c>
      <c r="D215" t="s">
        <v>762</v>
      </c>
      <c r="E215" t="s">
        <v>61</v>
      </c>
      <c r="F215" t="s">
        <v>51</v>
      </c>
      <c r="G215" t="s">
        <v>52</v>
      </c>
      <c r="H215" t="s">
        <v>159</v>
      </c>
      <c r="I215" t="s">
        <v>160</v>
      </c>
      <c r="J215" t="s">
        <v>88</v>
      </c>
      <c r="K215" t="s">
        <v>89</v>
      </c>
      <c r="L215" t="s">
        <v>763</v>
      </c>
      <c r="M215" t="s">
        <v>45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46</v>
      </c>
      <c r="U215" t="s">
        <v>47</v>
      </c>
      <c r="V215" t="str">
        <f t="shared" si="29"/>
        <v>Valid</v>
      </c>
      <c r="W215">
        <f t="shared" si="30"/>
        <v>6</v>
      </c>
      <c r="Y215" t="str">
        <f t="shared" si="31"/>
        <v>OK</v>
      </c>
      <c r="Z215" t="str">
        <f t="shared" si="32"/>
        <v>OK</v>
      </c>
      <c r="AA215" t="str">
        <f t="shared" si="33"/>
        <v>OK</v>
      </c>
      <c r="AB215" t="str">
        <f t="shared" si="34"/>
        <v>Valid</v>
      </c>
      <c r="AC215" t="str">
        <f>IF(OR(AB215="Invalid Discount",V215="Invalid Shipping"),
"Invalid",
IF(OR(Y215="Missing Region",
Z215="Missing Ship Mode",
AA215="Missing Discount",
X215="Flagged for Review"),
"Warning",
"Clean"))</f>
        <v>Clean</v>
      </c>
      <c r="AD215">
        <f t="shared" si="35"/>
        <v>0.2</v>
      </c>
      <c r="AE215">
        <f>N215*O215*(1-AD215)</f>
        <v>13864.735999999999</v>
      </c>
      <c r="AF215">
        <f>AE215-R215</f>
        <v>2570.6759999999995</v>
      </c>
      <c r="AG215" s="3">
        <f t="shared" si="36"/>
        <v>0.18541110339208763</v>
      </c>
      <c r="AH215" t="str">
        <f t="shared" si="37"/>
        <v>May</v>
      </c>
      <c r="AI215">
        <f t="shared" si="38"/>
        <v>2024</v>
      </c>
    </row>
    <row r="216" spans="1:35">
      <c r="A216" t="s">
        <v>764</v>
      </c>
      <c r="B216" s="2">
        <v>45368</v>
      </c>
      <c r="C216" s="2">
        <v>45374</v>
      </c>
      <c r="D216" t="s">
        <v>765</v>
      </c>
      <c r="E216" t="s">
        <v>132</v>
      </c>
      <c r="F216" t="s">
        <v>38</v>
      </c>
      <c r="G216" t="s">
        <v>39</v>
      </c>
      <c r="H216" t="s">
        <v>251</v>
      </c>
      <c r="I216" t="s">
        <v>252</v>
      </c>
      <c r="J216" t="s">
        <v>88</v>
      </c>
      <c r="K216" t="s">
        <v>89</v>
      </c>
      <c r="L216" t="s">
        <v>766</v>
      </c>
      <c r="M216" t="s">
        <v>64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46</v>
      </c>
      <c r="U216" t="s">
        <v>47</v>
      </c>
      <c r="V216" t="str">
        <f t="shared" si="29"/>
        <v>Valid</v>
      </c>
      <c r="W216">
        <f t="shared" si="30"/>
        <v>6</v>
      </c>
      <c r="Y216" t="str">
        <f t="shared" si="31"/>
        <v>OK</v>
      </c>
      <c r="Z216" t="str">
        <f t="shared" si="32"/>
        <v>OK</v>
      </c>
      <c r="AA216" t="str">
        <f t="shared" si="33"/>
        <v>OK</v>
      </c>
      <c r="AB216" t="str">
        <f t="shared" si="34"/>
        <v>Valid</v>
      </c>
      <c r="AC216" t="str">
        <f>IF(OR(AB216="Invalid Discount",V216="Invalid Shipping"),
"Invalid",
IF(OR(Y216="Missing Region",
Z216="Missing Ship Mode",
AA216="Missing Discount",
X216="Flagged for Review"),
"Warning",
"Clean"))</f>
        <v>Clean</v>
      </c>
      <c r="AD216">
        <f t="shared" si="35"/>
        <v>0.05</v>
      </c>
      <c r="AE216">
        <f>N216*O216*(1-AD216)</f>
        <v>707.31299999999999</v>
      </c>
      <c r="AF216">
        <f>AE216-R216</f>
        <v>138.31299999999999</v>
      </c>
      <c r="AG216" s="3">
        <f t="shared" si="36"/>
        <v>0.19554709159876885</v>
      </c>
      <c r="AH216" t="str">
        <f t="shared" si="37"/>
        <v>March</v>
      </c>
      <c r="AI216">
        <f t="shared" si="38"/>
        <v>2024</v>
      </c>
    </row>
    <row r="217" spans="1:35">
      <c r="A217" t="s">
        <v>767</v>
      </c>
      <c r="B217" s="2">
        <v>45352</v>
      </c>
      <c r="C217" s="2">
        <v>45355</v>
      </c>
      <c r="D217" t="s">
        <v>768</v>
      </c>
      <c r="E217" t="s">
        <v>50</v>
      </c>
      <c r="F217" t="s">
        <v>38</v>
      </c>
      <c r="G217" t="s">
        <v>77</v>
      </c>
      <c r="H217" t="s">
        <v>86</v>
      </c>
      <c r="I217" t="s">
        <v>87</v>
      </c>
      <c r="J217" t="s">
        <v>42</v>
      </c>
      <c r="K217" t="s">
        <v>43</v>
      </c>
      <c r="L217" t="s">
        <v>769</v>
      </c>
      <c r="M217" t="s">
        <v>64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46</v>
      </c>
      <c r="U217" t="s">
        <v>47</v>
      </c>
      <c r="V217" t="str">
        <f t="shared" si="29"/>
        <v>Valid</v>
      </c>
      <c r="W217">
        <f t="shared" si="30"/>
        <v>3</v>
      </c>
      <c r="Y217" t="str">
        <f t="shared" si="31"/>
        <v>OK</v>
      </c>
      <c r="Z217" t="str">
        <f t="shared" si="32"/>
        <v>OK</v>
      </c>
      <c r="AA217" t="str">
        <f t="shared" si="33"/>
        <v>OK</v>
      </c>
      <c r="AB217" t="str">
        <f t="shared" si="34"/>
        <v>Valid</v>
      </c>
      <c r="AC217" t="str">
        <f>IF(OR(AB217="Invalid Discount",V217="Invalid Shipping"),
"Invalid",
IF(OR(Y217="Missing Region",
Z217="Missing Ship Mode",
AA217="Missing Discount",
X217="Flagged for Review"),
"Warning",
"Clean"))</f>
        <v>Clean</v>
      </c>
      <c r="AD217">
        <f t="shared" si="35"/>
        <v>0.25</v>
      </c>
      <c r="AE217">
        <f>N217*O217*(1-AD217)</f>
        <v>19214.400000000001</v>
      </c>
      <c r="AF217">
        <f>AE217-R217</f>
        <v>8298.3900000000012</v>
      </c>
      <c r="AG217" s="3">
        <f t="shared" si="36"/>
        <v>0.43188389957531853</v>
      </c>
      <c r="AH217" t="str">
        <f t="shared" si="37"/>
        <v>March</v>
      </c>
      <c r="AI217">
        <f t="shared" si="38"/>
        <v>2024</v>
      </c>
    </row>
    <row r="218" spans="1:35">
      <c r="A218" t="s">
        <v>770</v>
      </c>
      <c r="B218" s="2">
        <v>45757</v>
      </c>
      <c r="C218" s="2">
        <v>45762</v>
      </c>
      <c r="D218" t="s">
        <v>771</v>
      </c>
      <c r="E218" t="s">
        <v>61</v>
      </c>
      <c r="F218" t="s">
        <v>38</v>
      </c>
      <c r="G218" t="s">
        <v>77</v>
      </c>
      <c r="H218" t="s">
        <v>194</v>
      </c>
      <c r="I218" t="s">
        <v>195</v>
      </c>
      <c r="J218" t="s">
        <v>55</v>
      </c>
      <c r="K218" t="s">
        <v>56</v>
      </c>
      <c r="L218" t="s">
        <v>772</v>
      </c>
      <c r="M218" t="s">
        <v>73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169</v>
      </c>
      <c r="U218" t="s">
        <v>117</v>
      </c>
      <c r="V218" t="str">
        <f t="shared" si="29"/>
        <v>Valid</v>
      </c>
      <c r="W218">
        <f t="shared" si="30"/>
        <v>5</v>
      </c>
      <c r="Y218" t="str">
        <f t="shared" si="31"/>
        <v>OK</v>
      </c>
      <c r="Z218" t="str">
        <f t="shared" si="32"/>
        <v>OK</v>
      </c>
      <c r="AA218" t="str">
        <f t="shared" si="33"/>
        <v>OK</v>
      </c>
      <c r="AB218" t="str">
        <f t="shared" si="34"/>
        <v>Valid</v>
      </c>
      <c r="AC218" t="str">
        <f>IF(OR(AB218="Invalid Discount",V218="Invalid Shipping"),
"Invalid",
IF(OR(Y218="Missing Region",
Z218="Missing Ship Mode",
AA218="Missing Discount",
X218="Flagged for Review"),
"Warning",
"Clean"))</f>
        <v>Clean</v>
      </c>
      <c r="AD218">
        <f t="shared" si="35"/>
        <v>0.25</v>
      </c>
      <c r="AE218">
        <f>N218*O218*(1-AD218)</f>
        <v>11039.22</v>
      </c>
      <c r="AF218">
        <f>AE218-R218</f>
        <v>3396.3099999999995</v>
      </c>
      <c r="AG218" s="3">
        <f t="shared" si="36"/>
        <v>0.30765851210502188</v>
      </c>
      <c r="AH218" t="str">
        <f t="shared" si="37"/>
        <v>April</v>
      </c>
      <c r="AI218">
        <f t="shared" si="38"/>
        <v>2025</v>
      </c>
    </row>
    <row r="219" spans="1:35">
      <c r="A219" t="s">
        <v>773</v>
      </c>
      <c r="B219" s="2">
        <v>45748</v>
      </c>
      <c r="C219" s="2">
        <v>45755</v>
      </c>
      <c r="D219" t="s">
        <v>774</v>
      </c>
      <c r="E219" t="s">
        <v>103</v>
      </c>
      <c r="F219" t="s">
        <v>38</v>
      </c>
      <c r="G219" t="s">
        <v>52</v>
      </c>
      <c r="H219" t="s">
        <v>53</v>
      </c>
      <c r="I219" t="s">
        <v>54</v>
      </c>
      <c r="J219" t="s">
        <v>55</v>
      </c>
      <c r="K219" t="s">
        <v>172</v>
      </c>
      <c r="L219" t="s">
        <v>775</v>
      </c>
      <c r="M219" t="s">
        <v>45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116</v>
      </c>
      <c r="U219" t="s">
        <v>82</v>
      </c>
      <c r="V219" t="str">
        <f t="shared" si="29"/>
        <v>Valid</v>
      </c>
      <c r="W219">
        <f t="shared" si="30"/>
        <v>7</v>
      </c>
      <c r="Y219" t="str">
        <f t="shared" si="31"/>
        <v>OK</v>
      </c>
      <c r="Z219" t="str">
        <f t="shared" si="32"/>
        <v>OK</v>
      </c>
      <c r="AA219" t="str">
        <f t="shared" si="33"/>
        <v>OK</v>
      </c>
      <c r="AB219" t="str">
        <f t="shared" si="34"/>
        <v>Valid</v>
      </c>
      <c r="AC219" t="str">
        <f>IF(OR(AB219="Invalid Discount",V219="Invalid Shipping"),
"Invalid",
IF(OR(Y219="Missing Region",
Z219="Missing Ship Mode",
AA219="Missing Discount",
X219="Flagged for Review"),
"Warning",
"Clean"))</f>
        <v>Clean</v>
      </c>
      <c r="AD219">
        <f t="shared" si="35"/>
        <v>0.1</v>
      </c>
      <c r="AE219">
        <f>N219*O219*(1-AD219)</f>
        <v>4595.76</v>
      </c>
      <c r="AF219">
        <f>AE219-R219</f>
        <v>1198.96</v>
      </c>
      <c r="AG219" s="3">
        <f t="shared" si="36"/>
        <v>0.26088394520166414</v>
      </c>
      <c r="AH219" t="str">
        <f t="shared" si="37"/>
        <v>April</v>
      </c>
      <c r="AI219">
        <f t="shared" si="38"/>
        <v>2025</v>
      </c>
    </row>
    <row r="220" spans="1:35">
      <c r="A220" t="s">
        <v>776</v>
      </c>
      <c r="B220" s="2">
        <v>45714</v>
      </c>
      <c r="C220" s="2">
        <v>45715</v>
      </c>
      <c r="D220" t="s">
        <v>777</v>
      </c>
      <c r="E220" t="s">
        <v>128</v>
      </c>
      <c r="F220" t="s">
        <v>104</v>
      </c>
      <c r="G220" t="s">
        <v>77</v>
      </c>
      <c r="H220" t="s">
        <v>194</v>
      </c>
      <c r="I220" t="s">
        <v>195</v>
      </c>
      <c r="J220" t="s">
        <v>55</v>
      </c>
      <c r="K220" t="s">
        <v>172</v>
      </c>
      <c r="L220" t="s">
        <v>778</v>
      </c>
      <c r="M220" t="s">
        <v>73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46</v>
      </c>
      <c r="U220" t="s">
        <v>47</v>
      </c>
      <c r="V220" t="str">
        <f t="shared" si="29"/>
        <v>Valid</v>
      </c>
      <c r="W220">
        <f t="shared" si="30"/>
        <v>1</v>
      </c>
      <c r="Y220" t="str">
        <f t="shared" si="31"/>
        <v>OK</v>
      </c>
      <c r="Z220" t="str">
        <f t="shared" si="32"/>
        <v>OK</v>
      </c>
      <c r="AA220" t="str">
        <f t="shared" si="33"/>
        <v>OK</v>
      </c>
      <c r="AB220" t="str">
        <f t="shared" si="34"/>
        <v>Valid</v>
      </c>
      <c r="AC220" t="str">
        <f>IF(OR(AB220="Invalid Discount",V220="Invalid Shipping"),
"Invalid",
IF(OR(Y220="Missing Region",
Z220="Missing Ship Mode",
AA220="Missing Discount",
X220="Flagged for Review"),
"Warning",
"Clean"))</f>
        <v>Clean</v>
      </c>
      <c r="AD220">
        <f t="shared" si="35"/>
        <v>0</v>
      </c>
      <c r="AE220">
        <f>N220*O220*(1-AD220)</f>
        <v>1291.3999999999999</v>
      </c>
      <c r="AF220">
        <f>AE220-R220</f>
        <v>534.46999999999991</v>
      </c>
      <c r="AG220" s="3">
        <f t="shared" si="36"/>
        <v>0.41386866966083319</v>
      </c>
      <c r="AH220" t="str">
        <f t="shared" si="37"/>
        <v>February</v>
      </c>
      <c r="AI220">
        <f t="shared" si="38"/>
        <v>2025</v>
      </c>
    </row>
    <row r="221" spans="1:35">
      <c r="A221" t="s">
        <v>779</v>
      </c>
      <c r="B221" s="2">
        <v>45461</v>
      </c>
      <c r="C221" s="2">
        <v>45462</v>
      </c>
      <c r="D221" t="s">
        <v>780</v>
      </c>
      <c r="E221" t="s">
        <v>132</v>
      </c>
      <c r="F221" t="s">
        <v>38</v>
      </c>
      <c r="G221" t="s">
        <v>52</v>
      </c>
      <c r="H221" t="s">
        <v>159</v>
      </c>
      <c r="I221" t="s">
        <v>160</v>
      </c>
      <c r="J221" t="s">
        <v>88</v>
      </c>
      <c r="K221" t="s">
        <v>289</v>
      </c>
      <c r="L221" t="s">
        <v>781</v>
      </c>
      <c r="M221" t="s">
        <v>64</v>
      </c>
      <c r="N221">
        <v>2</v>
      </c>
      <c r="O221">
        <v>121.49</v>
      </c>
      <c r="P221">
        <v>0.85</v>
      </c>
      <c r="Q221">
        <v>242.98</v>
      </c>
      <c r="R221">
        <v>161.41999999999999</v>
      </c>
      <c r="S221">
        <v>81.56</v>
      </c>
      <c r="T221" t="s">
        <v>46</v>
      </c>
      <c r="U221" t="s">
        <v>47</v>
      </c>
      <c r="V221" t="str">
        <f t="shared" si="29"/>
        <v>Valid</v>
      </c>
      <c r="W221">
        <f t="shared" si="30"/>
        <v>1</v>
      </c>
      <c r="Y221" t="str">
        <f t="shared" si="31"/>
        <v>OK</v>
      </c>
      <c r="Z221" t="str">
        <f t="shared" si="32"/>
        <v>OK</v>
      </c>
      <c r="AA221" t="str">
        <f t="shared" si="33"/>
        <v>OK</v>
      </c>
      <c r="AB221" t="str">
        <f t="shared" si="34"/>
        <v>Valid</v>
      </c>
      <c r="AC221" t="str">
        <f>IF(OR(AB221="Invalid Discount",V221="Invalid Shipping"),
"Invalid",
IF(OR(Y221="Missing Region",
Z221="Missing Ship Mode",
AA221="Missing Discount",
X221="Flagged for Review"),
"Warning",
"Clean"))</f>
        <v>Clean</v>
      </c>
      <c r="AD221">
        <v>0.85</v>
      </c>
      <c r="AE221">
        <f>N221*O221*(1-AD221)</f>
        <v>36.447000000000003</v>
      </c>
      <c r="AF221">
        <f>AE221-R221</f>
        <v>-124.97299999999998</v>
      </c>
      <c r="AG221" s="3">
        <f t="shared" si="36"/>
        <v>-3.4288967541910162</v>
      </c>
      <c r="AH221" t="str">
        <f t="shared" si="37"/>
        <v>June</v>
      </c>
      <c r="AI221">
        <f t="shared" si="38"/>
        <v>2024</v>
      </c>
    </row>
    <row r="222" spans="1:35">
      <c r="A222" t="s">
        <v>782</v>
      </c>
      <c r="B222" s="2">
        <v>45538</v>
      </c>
      <c r="C222" s="2">
        <v>45538</v>
      </c>
      <c r="D222" t="s">
        <v>783</v>
      </c>
      <c r="E222" t="s">
        <v>146</v>
      </c>
      <c r="F222" t="s">
        <v>38</v>
      </c>
      <c r="G222" t="s">
        <v>68</v>
      </c>
      <c r="H222" t="s">
        <v>199</v>
      </c>
      <c r="I222" t="s">
        <v>200</v>
      </c>
      <c r="J222" t="s">
        <v>42</v>
      </c>
      <c r="K222" t="s">
        <v>138</v>
      </c>
      <c r="L222" t="s">
        <v>784</v>
      </c>
      <c r="M222" t="s">
        <v>64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116</v>
      </c>
      <c r="U222" t="s">
        <v>82</v>
      </c>
      <c r="V222" t="str">
        <f t="shared" si="29"/>
        <v>Valid</v>
      </c>
      <c r="W222">
        <f t="shared" si="30"/>
        <v>0</v>
      </c>
      <c r="Y222" t="str">
        <f t="shared" si="31"/>
        <v>OK</v>
      </c>
      <c r="Z222" t="str">
        <f t="shared" si="32"/>
        <v>OK</v>
      </c>
      <c r="AA222" t="str">
        <f t="shared" si="33"/>
        <v>OK</v>
      </c>
      <c r="AB222" t="str">
        <f t="shared" si="34"/>
        <v>Valid</v>
      </c>
      <c r="AC222" t="str">
        <f>IF(OR(AB222="Invalid Discount",V222="Invalid Shipping"),
"Invalid",
IF(OR(Y222="Missing Region",
Z222="Missing Ship Mode",
AA222="Missing Discount",
X222="Flagged for Review"),
"Warning",
"Clean"))</f>
        <v>Clean</v>
      </c>
      <c r="AD222">
        <f t="shared" si="35"/>
        <v>0.15</v>
      </c>
      <c r="AE222">
        <f>N222*O222*(1-AD222)</f>
        <v>9554.5779999999995</v>
      </c>
      <c r="AF222">
        <f>AE222-R222</f>
        <v>3486.1079999999993</v>
      </c>
      <c r="AG222" s="3">
        <f t="shared" si="36"/>
        <v>0.36486258210462036</v>
      </c>
      <c r="AH222" t="str">
        <f t="shared" si="37"/>
        <v>September</v>
      </c>
      <c r="AI222">
        <f t="shared" si="38"/>
        <v>2024</v>
      </c>
    </row>
    <row r="223" spans="1:35">
      <c r="A223" t="s">
        <v>785</v>
      </c>
      <c r="B223" s="2">
        <v>45669</v>
      </c>
      <c r="C223" s="2">
        <v>45672</v>
      </c>
      <c r="D223" t="s">
        <v>786</v>
      </c>
      <c r="E223" t="s">
        <v>50</v>
      </c>
      <c r="F223" t="s">
        <v>104</v>
      </c>
      <c r="G223" t="s">
        <v>68</v>
      </c>
      <c r="H223" t="s">
        <v>189</v>
      </c>
      <c r="I223" t="s">
        <v>190</v>
      </c>
      <c r="J223" t="s">
        <v>55</v>
      </c>
      <c r="K223" t="s">
        <v>80</v>
      </c>
      <c r="L223" t="s">
        <v>787</v>
      </c>
      <c r="M223" t="s">
        <v>58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46</v>
      </c>
      <c r="U223" t="s">
        <v>47</v>
      </c>
      <c r="V223" t="str">
        <f t="shared" si="29"/>
        <v>Valid</v>
      </c>
      <c r="W223">
        <f t="shared" si="30"/>
        <v>3</v>
      </c>
      <c r="Y223" t="str">
        <f t="shared" si="31"/>
        <v>OK</v>
      </c>
      <c r="Z223" t="str">
        <f t="shared" si="32"/>
        <v>OK</v>
      </c>
      <c r="AA223" t="str">
        <f t="shared" si="33"/>
        <v>OK</v>
      </c>
      <c r="AB223" t="str">
        <f t="shared" si="34"/>
        <v>Valid</v>
      </c>
      <c r="AC223" t="str">
        <f>IF(OR(AB223="Invalid Discount",V223="Invalid Shipping"),
"Invalid",
IF(OR(Y223="Missing Region",
Z223="Missing Ship Mode",
AA223="Missing Discount",
X223="Flagged for Review"),
"Warning",
"Clean"))</f>
        <v>Clean</v>
      </c>
      <c r="AD223">
        <f t="shared" si="35"/>
        <v>0.2</v>
      </c>
      <c r="AE223">
        <f>N223*O223*(1-AD223)</f>
        <v>4900.8959999999997</v>
      </c>
      <c r="AF223">
        <f>AE223-R223</f>
        <v>1348.2059999999997</v>
      </c>
      <c r="AG223" s="3">
        <f t="shared" si="36"/>
        <v>0.27509377877024932</v>
      </c>
      <c r="AH223" t="str">
        <f t="shared" si="37"/>
        <v>January</v>
      </c>
      <c r="AI223">
        <f t="shared" si="38"/>
        <v>2025</v>
      </c>
    </row>
    <row r="224" spans="1:35">
      <c r="A224" t="s">
        <v>788</v>
      </c>
      <c r="B224" s="2">
        <v>45776</v>
      </c>
      <c r="C224" s="2">
        <v>45779</v>
      </c>
      <c r="D224" t="s">
        <v>789</v>
      </c>
      <c r="E224" t="s">
        <v>85</v>
      </c>
      <c r="F224" t="s">
        <v>51</v>
      </c>
      <c r="G224" t="s">
        <v>77</v>
      </c>
      <c r="H224" t="s">
        <v>204</v>
      </c>
      <c r="I224" t="s">
        <v>205</v>
      </c>
      <c r="J224" t="s">
        <v>42</v>
      </c>
      <c r="K224" t="s">
        <v>138</v>
      </c>
      <c r="L224" t="s">
        <v>790</v>
      </c>
      <c r="M224" t="s">
        <v>64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46</v>
      </c>
      <c r="U224" t="s">
        <v>47</v>
      </c>
      <c r="V224" t="str">
        <f t="shared" si="29"/>
        <v>Valid</v>
      </c>
      <c r="W224">
        <f t="shared" si="30"/>
        <v>3</v>
      </c>
      <c r="Y224" t="str">
        <f t="shared" si="31"/>
        <v>OK</v>
      </c>
      <c r="Z224" t="str">
        <f t="shared" si="32"/>
        <v>OK</v>
      </c>
      <c r="AA224" t="str">
        <f t="shared" si="33"/>
        <v>OK</v>
      </c>
      <c r="AB224" t="str">
        <f t="shared" si="34"/>
        <v>Valid</v>
      </c>
      <c r="AC224" t="str">
        <f>IF(OR(AB224="Invalid Discount",V224="Invalid Shipping"),
"Invalid",
IF(OR(Y224="Missing Region",
Z224="Missing Ship Mode",
AA224="Missing Discount",
X224="Flagged for Review"),
"Warning",
"Clean"))</f>
        <v>Clean</v>
      </c>
      <c r="AD224">
        <f t="shared" si="35"/>
        <v>0</v>
      </c>
      <c r="AE224">
        <f>N224*O224*(1-AD224)</f>
        <v>25848.54</v>
      </c>
      <c r="AF224">
        <f>AE224-R224</f>
        <v>8119.4500000000007</v>
      </c>
      <c r="AG224" s="3">
        <f t="shared" si="36"/>
        <v>0.31411638723115504</v>
      </c>
      <c r="AH224" t="str">
        <f t="shared" si="37"/>
        <v>April</v>
      </c>
      <c r="AI224">
        <f t="shared" si="38"/>
        <v>2025</v>
      </c>
    </row>
    <row r="225" spans="1:35">
      <c r="A225" t="s">
        <v>791</v>
      </c>
      <c r="B225" s="2">
        <v>45707</v>
      </c>
      <c r="C225" s="2">
        <v>45714</v>
      </c>
      <c r="D225" t="s">
        <v>792</v>
      </c>
      <c r="E225" t="s">
        <v>50</v>
      </c>
      <c r="F225" t="s">
        <v>104</v>
      </c>
      <c r="G225" t="s">
        <v>77</v>
      </c>
      <c r="H225" t="s">
        <v>78</v>
      </c>
      <c r="I225" t="s">
        <v>79</v>
      </c>
      <c r="J225" t="s">
        <v>55</v>
      </c>
      <c r="K225" t="s">
        <v>71</v>
      </c>
      <c r="L225" t="s">
        <v>793</v>
      </c>
      <c r="M225" t="s">
        <v>64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125</v>
      </c>
      <c r="U225" t="s">
        <v>117</v>
      </c>
      <c r="V225" t="str">
        <f t="shared" si="29"/>
        <v>Valid</v>
      </c>
      <c r="W225">
        <f t="shared" si="30"/>
        <v>7</v>
      </c>
      <c r="Y225" t="str">
        <f t="shared" si="31"/>
        <v>OK</v>
      </c>
      <c r="Z225" t="str">
        <f t="shared" si="32"/>
        <v>OK</v>
      </c>
      <c r="AA225" t="str">
        <f t="shared" si="33"/>
        <v>OK</v>
      </c>
      <c r="AB225" t="str">
        <f t="shared" si="34"/>
        <v>Valid</v>
      </c>
      <c r="AC225" t="str">
        <f>IF(OR(AB225="Invalid Discount",V225="Invalid Shipping"),
"Invalid",
IF(OR(Y225="Missing Region",
Z225="Missing Ship Mode",
AA225="Missing Discount",
X225="Flagged for Review"),
"Warning",
"Clean"))</f>
        <v>Clean</v>
      </c>
      <c r="AD225">
        <f t="shared" si="35"/>
        <v>0.2</v>
      </c>
      <c r="AE225">
        <f>N225*O225*(1-AD225)</f>
        <v>1176.72</v>
      </c>
      <c r="AF225">
        <f>AE225-R225</f>
        <v>522.39</v>
      </c>
      <c r="AG225" s="3">
        <f t="shared" si="36"/>
        <v>0.44393738527432181</v>
      </c>
      <c r="AH225" t="str">
        <f t="shared" si="37"/>
        <v>February</v>
      </c>
      <c r="AI225">
        <f t="shared" si="38"/>
        <v>2025</v>
      </c>
    </row>
    <row r="226" spans="1:35">
      <c r="A226" t="s">
        <v>794</v>
      </c>
      <c r="B226" s="2">
        <v>45932</v>
      </c>
      <c r="C226" s="2">
        <v>45938</v>
      </c>
      <c r="D226" t="s">
        <v>795</v>
      </c>
      <c r="E226" t="s">
        <v>61</v>
      </c>
      <c r="F226" t="s">
        <v>51</v>
      </c>
      <c r="G226" t="s">
        <v>39</v>
      </c>
      <c r="H226" t="s">
        <v>136</v>
      </c>
      <c r="I226" t="s">
        <v>137</v>
      </c>
      <c r="J226" t="s">
        <v>55</v>
      </c>
      <c r="K226" t="s">
        <v>71</v>
      </c>
      <c r="L226" t="s">
        <v>796</v>
      </c>
      <c r="M226" t="s">
        <v>73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46</v>
      </c>
      <c r="U226" t="s">
        <v>82</v>
      </c>
      <c r="V226" t="str">
        <f t="shared" si="29"/>
        <v>Valid</v>
      </c>
      <c r="W226">
        <f t="shared" si="30"/>
        <v>6</v>
      </c>
      <c r="X226" t="s">
        <v>398</v>
      </c>
      <c r="Y226" t="str">
        <f t="shared" si="31"/>
        <v>OK</v>
      </c>
      <c r="Z226" t="str">
        <f t="shared" si="32"/>
        <v>OK</v>
      </c>
      <c r="AA226" t="str">
        <f t="shared" si="33"/>
        <v>OK</v>
      </c>
      <c r="AB226" t="str">
        <f t="shared" si="34"/>
        <v>Valid</v>
      </c>
      <c r="AC226" t="str">
        <f>IF(OR(AB226="Invalid Discount",V226="Invalid Shipping"),
"Invalid",
IF(OR(Y226="Missing Region",
Z226="Missing Ship Mode",
AA226="Missing Discount",
X226="Flagged for Review"),
"Warning",
"Clean"))</f>
        <v>Warning</v>
      </c>
      <c r="AD226">
        <f t="shared" si="35"/>
        <v>0.25</v>
      </c>
      <c r="AE226">
        <f>N226*O226*(1-AD226)</f>
        <v>11833.92</v>
      </c>
      <c r="AF226">
        <f>AE226-R226</f>
        <v>5151</v>
      </c>
      <c r="AG226" s="3">
        <f t="shared" si="36"/>
        <v>0.43527419485681834</v>
      </c>
      <c r="AH226" t="str">
        <f t="shared" si="37"/>
        <v>October</v>
      </c>
      <c r="AI226">
        <f t="shared" si="38"/>
        <v>2025</v>
      </c>
    </row>
    <row r="227" spans="1:35">
      <c r="A227" t="s">
        <v>797</v>
      </c>
      <c r="B227" s="2">
        <v>45537</v>
      </c>
      <c r="C227" s="2">
        <v>45545</v>
      </c>
      <c r="D227" t="s">
        <v>798</v>
      </c>
      <c r="E227" t="s">
        <v>50</v>
      </c>
      <c r="F227" t="s">
        <v>104</v>
      </c>
      <c r="G227" t="s">
        <v>77</v>
      </c>
      <c r="H227" t="s">
        <v>204</v>
      </c>
      <c r="I227" t="s">
        <v>205</v>
      </c>
      <c r="J227" t="s">
        <v>88</v>
      </c>
      <c r="K227" t="s">
        <v>185</v>
      </c>
      <c r="L227" t="s">
        <v>799</v>
      </c>
      <c r="M227" t="s">
        <v>73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46</v>
      </c>
      <c r="U227" t="s">
        <v>47</v>
      </c>
      <c r="V227" t="str">
        <f t="shared" si="29"/>
        <v>Valid</v>
      </c>
      <c r="W227">
        <f t="shared" si="30"/>
        <v>8</v>
      </c>
      <c r="Y227" t="str">
        <f t="shared" si="31"/>
        <v>OK</v>
      </c>
      <c r="Z227" t="str">
        <f t="shared" si="32"/>
        <v>OK</v>
      </c>
      <c r="AA227" t="str">
        <f t="shared" si="33"/>
        <v>OK</v>
      </c>
      <c r="AB227" t="str">
        <f t="shared" si="34"/>
        <v>Valid</v>
      </c>
      <c r="AC227" t="str">
        <f>IF(OR(AB227="Invalid Discount",V227="Invalid Shipping"),
"Invalid",
IF(OR(Y227="Missing Region",
Z227="Missing Ship Mode",
AA227="Missing Discount",
X227="Flagged for Review"),
"Warning",
"Clean"))</f>
        <v>Clean</v>
      </c>
      <c r="AD227">
        <f t="shared" si="35"/>
        <v>0.15</v>
      </c>
      <c r="AE227">
        <f>N227*O227*(1-AD227)</f>
        <v>5265.5969999999998</v>
      </c>
      <c r="AF227">
        <f>AE227-R227</f>
        <v>972.48700000000008</v>
      </c>
      <c r="AG227" s="3">
        <f t="shared" si="36"/>
        <v>0.18468694053114967</v>
      </c>
      <c r="AH227" t="str">
        <f t="shared" si="37"/>
        <v>September</v>
      </c>
      <c r="AI227">
        <f t="shared" si="38"/>
        <v>2024</v>
      </c>
    </row>
    <row r="228" spans="1:35">
      <c r="A228" t="s">
        <v>800</v>
      </c>
      <c r="B228" s="2">
        <v>45757</v>
      </c>
      <c r="C228" s="2">
        <v>45762</v>
      </c>
      <c r="D228" t="s">
        <v>801</v>
      </c>
      <c r="E228" t="s">
        <v>176</v>
      </c>
      <c r="F228" t="s">
        <v>109</v>
      </c>
      <c r="G228" t="s">
        <v>219</v>
      </c>
      <c r="H228" t="s">
        <v>199</v>
      </c>
      <c r="I228" t="s">
        <v>200</v>
      </c>
      <c r="J228" t="s">
        <v>88</v>
      </c>
      <c r="K228" t="s">
        <v>94</v>
      </c>
      <c r="L228" t="s">
        <v>802</v>
      </c>
      <c r="M228" t="s">
        <v>58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46</v>
      </c>
      <c r="U228" t="s">
        <v>47</v>
      </c>
      <c r="V228" t="str">
        <f t="shared" si="29"/>
        <v>Valid</v>
      </c>
      <c r="W228">
        <f t="shared" si="30"/>
        <v>5</v>
      </c>
      <c r="Y228" t="str">
        <f t="shared" si="31"/>
        <v>Missing Region</v>
      </c>
      <c r="Z228" t="str">
        <f t="shared" si="32"/>
        <v>OK</v>
      </c>
      <c r="AA228" t="str">
        <f t="shared" si="33"/>
        <v>OK</v>
      </c>
      <c r="AB228" t="str">
        <f t="shared" si="34"/>
        <v>Valid</v>
      </c>
      <c r="AC228" t="str">
        <f>IF(OR(AB228="Invalid Discount",V228="Invalid Shipping"),
"Invalid",
IF(OR(Y228="Missing Region",
Z228="Missing Ship Mode",
AA228="Missing Discount",
X228="Flagged for Review"),
"Warning",
"Clean"))</f>
        <v>Warning</v>
      </c>
      <c r="AD228">
        <f t="shared" si="35"/>
        <v>0.1</v>
      </c>
      <c r="AE228">
        <f>N228*O228*(1-AD228)</f>
        <v>1987.443</v>
      </c>
      <c r="AF228">
        <f>AE228-R228</f>
        <v>877.21299999999997</v>
      </c>
      <c r="AG228" s="3">
        <f t="shared" si="36"/>
        <v>0.44137768982556985</v>
      </c>
      <c r="AH228" t="str">
        <f t="shared" si="37"/>
        <v>April</v>
      </c>
      <c r="AI228">
        <f t="shared" si="38"/>
        <v>2025</v>
      </c>
    </row>
    <row r="229" spans="1:35">
      <c r="A229" t="s">
        <v>803</v>
      </c>
      <c r="B229" s="2">
        <v>45478</v>
      </c>
      <c r="C229" s="2">
        <v>45485</v>
      </c>
      <c r="D229" t="s">
        <v>804</v>
      </c>
      <c r="E229" t="s">
        <v>76</v>
      </c>
      <c r="F229" t="s">
        <v>51</v>
      </c>
      <c r="G229" t="s">
        <v>77</v>
      </c>
      <c r="H229" t="s">
        <v>204</v>
      </c>
      <c r="I229" t="s">
        <v>205</v>
      </c>
      <c r="J229" t="s">
        <v>42</v>
      </c>
      <c r="K229" t="s">
        <v>167</v>
      </c>
      <c r="L229" t="s">
        <v>805</v>
      </c>
      <c r="M229" t="s">
        <v>64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46</v>
      </c>
      <c r="U229" t="s">
        <v>47</v>
      </c>
      <c r="V229" t="str">
        <f t="shared" si="29"/>
        <v>Valid</v>
      </c>
      <c r="W229">
        <f t="shared" si="30"/>
        <v>7</v>
      </c>
      <c r="Y229" t="str">
        <f t="shared" si="31"/>
        <v>OK</v>
      </c>
      <c r="Z229" t="str">
        <f t="shared" si="32"/>
        <v>OK</v>
      </c>
      <c r="AA229" t="str">
        <f t="shared" si="33"/>
        <v>OK</v>
      </c>
      <c r="AB229" t="str">
        <f t="shared" si="34"/>
        <v>Valid</v>
      </c>
      <c r="AC229" t="str">
        <f>IF(OR(AB229="Invalid Discount",V229="Invalid Shipping"),
"Invalid",
IF(OR(Y229="Missing Region",
Z229="Missing Ship Mode",
AA229="Missing Discount",
X229="Flagged for Review"),
"Warning",
"Clean"))</f>
        <v>Clean</v>
      </c>
      <c r="AD229">
        <f t="shared" si="35"/>
        <v>0.15</v>
      </c>
      <c r="AE229">
        <f>N229*O229*(1-AD229)</f>
        <v>1473.2625</v>
      </c>
      <c r="AF229">
        <f>AE229-R229</f>
        <v>573.40250000000003</v>
      </c>
      <c r="AG229" s="3">
        <f t="shared" si="36"/>
        <v>0.38920592901808065</v>
      </c>
      <c r="AH229" t="str">
        <f t="shared" si="37"/>
        <v>July</v>
      </c>
      <c r="AI229">
        <f t="shared" si="38"/>
        <v>2024</v>
      </c>
    </row>
    <row r="230" spans="1:35">
      <c r="A230" t="s">
        <v>806</v>
      </c>
      <c r="B230" s="2">
        <v>45406</v>
      </c>
      <c r="C230" s="2">
        <v>45410</v>
      </c>
      <c r="D230" t="s">
        <v>807</v>
      </c>
      <c r="E230" t="s">
        <v>37</v>
      </c>
      <c r="F230" t="s">
        <v>51</v>
      </c>
      <c r="G230" t="s">
        <v>68</v>
      </c>
      <c r="H230" t="s">
        <v>69</v>
      </c>
      <c r="I230" t="s">
        <v>70</v>
      </c>
      <c r="J230" t="s">
        <v>42</v>
      </c>
      <c r="K230" t="s">
        <v>105</v>
      </c>
      <c r="L230" t="s">
        <v>808</v>
      </c>
      <c r="M230" t="s">
        <v>45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46</v>
      </c>
      <c r="U230" t="s">
        <v>47</v>
      </c>
      <c r="V230" t="str">
        <f t="shared" si="29"/>
        <v>Valid</v>
      </c>
      <c r="W230">
        <f t="shared" si="30"/>
        <v>4</v>
      </c>
      <c r="Y230" t="str">
        <f t="shared" si="31"/>
        <v>OK</v>
      </c>
      <c r="Z230" t="str">
        <f t="shared" si="32"/>
        <v>OK</v>
      </c>
      <c r="AA230" t="str">
        <f t="shared" si="33"/>
        <v>OK</v>
      </c>
      <c r="AB230" t="str">
        <f t="shared" si="34"/>
        <v>Valid</v>
      </c>
      <c r="AC230" t="str">
        <f>IF(OR(AB230="Invalid Discount",V230="Invalid Shipping"),
"Invalid",
IF(OR(Y230="Missing Region",
Z230="Missing Ship Mode",
AA230="Missing Discount",
X230="Flagged for Review"),
"Warning",
"Clean"))</f>
        <v>Clean</v>
      </c>
      <c r="AD230">
        <f t="shared" si="35"/>
        <v>0.15</v>
      </c>
      <c r="AE230">
        <f>N230*O230*(1-AD230)</f>
        <v>2715.2145</v>
      </c>
      <c r="AF230">
        <f>AE230-R230</f>
        <v>1163.6645000000001</v>
      </c>
      <c r="AG230" s="3">
        <f t="shared" si="36"/>
        <v>0.42857184948003191</v>
      </c>
      <c r="AH230" t="str">
        <f t="shared" si="37"/>
        <v>April</v>
      </c>
      <c r="AI230">
        <f t="shared" si="38"/>
        <v>2024</v>
      </c>
    </row>
    <row r="231" spans="1:35">
      <c r="A231" t="s">
        <v>809</v>
      </c>
      <c r="B231" s="2">
        <v>45836</v>
      </c>
      <c r="C231" s="2">
        <v>45842</v>
      </c>
      <c r="D231" t="s">
        <v>810</v>
      </c>
      <c r="E231" t="s">
        <v>155</v>
      </c>
      <c r="F231" t="s">
        <v>38</v>
      </c>
      <c r="G231" t="s">
        <v>68</v>
      </c>
      <c r="H231" t="s">
        <v>69</v>
      </c>
      <c r="I231" t="s">
        <v>70</v>
      </c>
      <c r="J231" t="s">
        <v>55</v>
      </c>
      <c r="K231" t="s">
        <v>172</v>
      </c>
      <c r="L231" t="s">
        <v>811</v>
      </c>
      <c r="M231" t="s">
        <v>64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116</v>
      </c>
      <c r="U231" t="s">
        <v>117</v>
      </c>
      <c r="V231" t="str">
        <f t="shared" si="29"/>
        <v>Valid</v>
      </c>
      <c r="W231">
        <f t="shared" si="30"/>
        <v>6</v>
      </c>
      <c r="Y231" t="str">
        <f t="shared" si="31"/>
        <v>OK</v>
      </c>
      <c r="Z231" t="str">
        <f t="shared" si="32"/>
        <v>OK</v>
      </c>
      <c r="AA231" t="str">
        <f t="shared" si="33"/>
        <v>OK</v>
      </c>
      <c r="AB231" t="str">
        <f t="shared" si="34"/>
        <v>Valid</v>
      </c>
      <c r="AC231" t="str">
        <f>IF(OR(AB231="Invalid Discount",V231="Invalid Shipping"),
"Invalid",
IF(OR(Y231="Missing Region",
Z231="Missing Ship Mode",
AA231="Missing Discount",
X231="Flagged for Review"),
"Warning",
"Clean"))</f>
        <v>Clean</v>
      </c>
      <c r="AD231">
        <f t="shared" si="35"/>
        <v>0</v>
      </c>
      <c r="AE231">
        <f>N231*O231*(1-AD231)</f>
        <v>8658.69</v>
      </c>
      <c r="AF231">
        <f>AE231-R231</f>
        <v>3122.7500000000009</v>
      </c>
      <c r="AG231" s="3">
        <f t="shared" si="36"/>
        <v>0.36064924370776652</v>
      </c>
      <c r="AH231" t="str">
        <f t="shared" si="37"/>
        <v>June</v>
      </c>
      <c r="AI231">
        <f t="shared" si="38"/>
        <v>2025</v>
      </c>
    </row>
    <row r="232" spans="1:35">
      <c r="A232" t="s">
        <v>812</v>
      </c>
      <c r="B232" s="2">
        <v>45440</v>
      </c>
      <c r="C232" s="2">
        <v>45446</v>
      </c>
      <c r="D232" t="s">
        <v>813</v>
      </c>
      <c r="E232" t="s">
        <v>93</v>
      </c>
      <c r="F232" t="s">
        <v>51</v>
      </c>
      <c r="G232" t="s">
        <v>39</v>
      </c>
      <c r="H232" t="s">
        <v>40</v>
      </c>
      <c r="I232" t="s">
        <v>41</v>
      </c>
      <c r="J232" t="s">
        <v>42</v>
      </c>
      <c r="K232" t="s">
        <v>43</v>
      </c>
      <c r="L232" t="s">
        <v>814</v>
      </c>
      <c r="M232" t="s">
        <v>73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46</v>
      </c>
      <c r="U232" t="s">
        <v>47</v>
      </c>
      <c r="V232" t="str">
        <f t="shared" si="29"/>
        <v>Valid</v>
      </c>
      <c r="W232">
        <f t="shared" si="30"/>
        <v>6</v>
      </c>
      <c r="Y232" t="str">
        <f t="shared" si="31"/>
        <v>OK</v>
      </c>
      <c r="Z232" t="str">
        <f t="shared" si="32"/>
        <v>OK</v>
      </c>
      <c r="AA232" t="str">
        <f t="shared" si="33"/>
        <v>OK</v>
      </c>
      <c r="AB232" t="str">
        <f t="shared" si="34"/>
        <v>Valid</v>
      </c>
      <c r="AC232" t="str">
        <f>IF(OR(AB232="Invalid Discount",V232="Invalid Shipping"),
"Invalid",
IF(OR(Y232="Missing Region",
Z232="Missing Ship Mode",
AA232="Missing Discount",
X232="Flagged for Review"),
"Warning",
"Clean"))</f>
        <v>Clean</v>
      </c>
      <c r="AD232">
        <f t="shared" si="35"/>
        <v>0.1</v>
      </c>
      <c r="AE232">
        <f>N232*O232*(1-AD232)</f>
        <v>11090.376</v>
      </c>
      <c r="AF232">
        <f>AE232-R232</f>
        <v>2249.4259999999995</v>
      </c>
      <c r="AG232" s="3">
        <f t="shared" si="36"/>
        <v>0.20282684734944958</v>
      </c>
      <c r="AH232" t="str">
        <f t="shared" si="37"/>
        <v>May</v>
      </c>
      <c r="AI232">
        <f t="shared" si="38"/>
        <v>2024</v>
      </c>
    </row>
    <row r="233" spans="1:35">
      <c r="A233" t="s">
        <v>815</v>
      </c>
      <c r="B233" s="2">
        <v>45414</v>
      </c>
      <c r="C233" s="2">
        <v>45414</v>
      </c>
      <c r="D233" t="s">
        <v>816</v>
      </c>
      <c r="E233" t="s">
        <v>76</v>
      </c>
      <c r="F233" t="s">
        <v>104</v>
      </c>
      <c r="G233" t="s">
        <v>39</v>
      </c>
      <c r="H233" t="s">
        <v>40</v>
      </c>
      <c r="I233" t="s">
        <v>41</v>
      </c>
      <c r="J233" t="s">
        <v>42</v>
      </c>
      <c r="K233" t="s">
        <v>105</v>
      </c>
      <c r="L233" t="s">
        <v>817</v>
      </c>
      <c r="M233" t="s">
        <v>64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116</v>
      </c>
      <c r="U233" t="s">
        <v>82</v>
      </c>
      <c r="V233" t="str">
        <f t="shared" si="29"/>
        <v>Valid</v>
      </c>
      <c r="W233">
        <f t="shared" si="30"/>
        <v>0</v>
      </c>
      <c r="Y233" t="str">
        <f t="shared" si="31"/>
        <v>OK</v>
      </c>
      <c r="Z233" t="str">
        <f t="shared" si="32"/>
        <v>OK</v>
      </c>
      <c r="AA233" t="str">
        <f t="shared" si="33"/>
        <v>OK</v>
      </c>
      <c r="AB233" t="str">
        <f t="shared" si="34"/>
        <v>Valid</v>
      </c>
      <c r="AC233" t="str">
        <f>IF(OR(AB233="Invalid Discount",V233="Invalid Shipping"),
"Invalid",
IF(OR(Y233="Missing Region",
Z233="Missing Ship Mode",
AA233="Missing Discount",
X233="Flagged for Review"),
"Warning",
"Clean"))</f>
        <v>Clean</v>
      </c>
      <c r="AD233">
        <f t="shared" si="35"/>
        <v>0.25</v>
      </c>
      <c r="AE233">
        <f>N233*O233*(1-AD233)</f>
        <v>11462.744999999999</v>
      </c>
      <c r="AF233">
        <f>AE233-R233</f>
        <v>4299.204999999999</v>
      </c>
      <c r="AG233" s="3">
        <f t="shared" si="36"/>
        <v>0.37505894094302888</v>
      </c>
      <c r="AH233" t="str">
        <f t="shared" si="37"/>
        <v>May</v>
      </c>
      <c r="AI233">
        <f t="shared" si="38"/>
        <v>2024</v>
      </c>
    </row>
    <row r="234" spans="1:35">
      <c r="A234" t="s">
        <v>818</v>
      </c>
      <c r="B234" s="2">
        <v>45812</v>
      </c>
      <c r="C234" s="2">
        <v>45818</v>
      </c>
      <c r="D234" t="s">
        <v>819</v>
      </c>
      <c r="E234" t="s">
        <v>132</v>
      </c>
      <c r="F234" t="s">
        <v>38</v>
      </c>
      <c r="G234" t="s">
        <v>68</v>
      </c>
      <c r="H234" t="s">
        <v>98</v>
      </c>
      <c r="I234" t="s">
        <v>99</v>
      </c>
      <c r="J234" t="s">
        <v>88</v>
      </c>
      <c r="K234" t="s">
        <v>185</v>
      </c>
      <c r="L234" t="s">
        <v>820</v>
      </c>
      <c r="M234" t="s">
        <v>73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46</v>
      </c>
      <c r="U234" t="s">
        <v>47</v>
      </c>
      <c r="V234" t="str">
        <f t="shared" si="29"/>
        <v>Valid</v>
      </c>
      <c r="W234">
        <f t="shared" si="30"/>
        <v>6</v>
      </c>
      <c r="Y234" t="str">
        <f t="shared" si="31"/>
        <v>OK</v>
      </c>
      <c r="Z234" t="str">
        <f t="shared" si="32"/>
        <v>OK</v>
      </c>
      <c r="AA234" t="str">
        <f t="shared" si="33"/>
        <v>OK</v>
      </c>
      <c r="AB234" t="str">
        <f t="shared" si="34"/>
        <v>Valid</v>
      </c>
      <c r="AC234" t="str">
        <f>IF(OR(AB234="Invalid Discount",V234="Invalid Shipping"),
"Invalid",
IF(OR(Y234="Missing Region",
Z234="Missing Ship Mode",
AA234="Missing Discount",
X234="Flagged for Review"),
"Warning",
"Clean"))</f>
        <v>Clean</v>
      </c>
      <c r="AD234">
        <f t="shared" si="35"/>
        <v>0.25</v>
      </c>
      <c r="AE234">
        <f>N234*O234*(1-AD234)</f>
        <v>670.11</v>
      </c>
      <c r="AF234">
        <f>AE234-R234</f>
        <v>110.53999999999996</v>
      </c>
      <c r="AG234" s="3">
        <f t="shared" si="36"/>
        <v>0.16495799197146732</v>
      </c>
      <c r="AH234" t="str">
        <f t="shared" si="37"/>
        <v>June</v>
      </c>
      <c r="AI234">
        <f t="shared" si="38"/>
        <v>2025</v>
      </c>
    </row>
    <row r="235" spans="1:35">
      <c r="A235" t="s">
        <v>821</v>
      </c>
      <c r="B235" s="2">
        <v>45579</v>
      </c>
      <c r="C235" s="2">
        <v>45579</v>
      </c>
      <c r="D235" t="s">
        <v>822</v>
      </c>
      <c r="E235" t="s">
        <v>85</v>
      </c>
      <c r="F235" t="s">
        <v>104</v>
      </c>
      <c r="G235" t="s">
        <v>68</v>
      </c>
      <c r="H235" t="s">
        <v>189</v>
      </c>
      <c r="I235" t="s">
        <v>190</v>
      </c>
      <c r="J235" t="s">
        <v>55</v>
      </c>
      <c r="K235" t="s">
        <v>172</v>
      </c>
      <c r="L235" t="s">
        <v>823</v>
      </c>
      <c r="M235" t="s">
        <v>219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46</v>
      </c>
      <c r="U235" t="s">
        <v>47</v>
      </c>
      <c r="V235" t="str">
        <f t="shared" si="29"/>
        <v>Valid</v>
      </c>
      <c r="W235">
        <f t="shared" si="30"/>
        <v>0</v>
      </c>
      <c r="Y235" t="str">
        <f t="shared" si="31"/>
        <v>OK</v>
      </c>
      <c r="Z235" t="str">
        <f t="shared" si="32"/>
        <v>Missing Ship Mode</v>
      </c>
      <c r="AA235" t="str">
        <f t="shared" si="33"/>
        <v>OK</v>
      </c>
      <c r="AB235" t="str">
        <f t="shared" si="34"/>
        <v>Valid</v>
      </c>
      <c r="AC235" t="str">
        <f>IF(OR(AB235="Invalid Discount",V235="Invalid Shipping"),
"Invalid",
IF(OR(Y235="Missing Region",
Z235="Missing Ship Mode",
AA235="Missing Discount",
X235="Flagged for Review"),
"Warning",
"Clean"))</f>
        <v>Warning</v>
      </c>
      <c r="AD235">
        <f t="shared" si="35"/>
        <v>0</v>
      </c>
      <c r="AE235">
        <f>N235*O235*(1-AD235)</f>
        <v>31236.720000000001</v>
      </c>
      <c r="AF235">
        <f>AE235-R235</f>
        <v>4859.0200000000004</v>
      </c>
      <c r="AG235" s="3">
        <f t="shared" si="36"/>
        <v>0.15555474454424154</v>
      </c>
      <c r="AH235" t="str">
        <f t="shared" si="37"/>
        <v>October</v>
      </c>
      <c r="AI235">
        <f t="shared" si="38"/>
        <v>2024</v>
      </c>
    </row>
    <row r="236" spans="1:35">
      <c r="A236" t="s">
        <v>824</v>
      </c>
      <c r="B236" s="2">
        <v>45537</v>
      </c>
      <c r="C236" s="2">
        <v>45538</v>
      </c>
      <c r="D236" t="s">
        <v>825</v>
      </c>
      <c r="E236" t="s">
        <v>279</v>
      </c>
      <c r="F236" t="s">
        <v>109</v>
      </c>
      <c r="G236" t="s">
        <v>39</v>
      </c>
      <c r="H236" t="s">
        <v>365</v>
      </c>
      <c r="I236" t="s">
        <v>366</v>
      </c>
      <c r="J236" t="s">
        <v>55</v>
      </c>
      <c r="K236" t="s">
        <v>71</v>
      </c>
      <c r="L236" t="s">
        <v>826</v>
      </c>
      <c r="M236" t="s">
        <v>64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46</v>
      </c>
      <c r="U236" t="s">
        <v>47</v>
      </c>
      <c r="V236" t="str">
        <f t="shared" si="29"/>
        <v>Valid</v>
      </c>
      <c r="W236">
        <f t="shared" si="30"/>
        <v>1</v>
      </c>
      <c r="Y236" t="str">
        <f t="shared" si="31"/>
        <v>OK</v>
      </c>
      <c r="Z236" t="str">
        <f t="shared" si="32"/>
        <v>OK</v>
      </c>
      <c r="AA236" t="str">
        <f t="shared" si="33"/>
        <v>OK</v>
      </c>
      <c r="AB236" t="str">
        <f t="shared" si="34"/>
        <v>Valid</v>
      </c>
      <c r="AC236" t="str">
        <f>IF(OR(AB236="Invalid Discount",V236="Invalid Shipping"),
"Invalid",
IF(OR(Y236="Missing Region",
Z236="Missing Ship Mode",
AA236="Missing Discount",
X236="Flagged for Review"),
"Warning",
"Clean"))</f>
        <v>Clean</v>
      </c>
      <c r="AD236">
        <f t="shared" si="35"/>
        <v>0.1</v>
      </c>
      <c r="AE236">
        <f>N236*O236*(1-AD236)</f>
        <v>10964.241</v>
      </c>
      <c r="AF236">
        <f>AE236-R236</f>
        <v>1701.7710000000006</v>
      </c>
      <c r="AG236" s="3">
        <f t="shared" si="36"/>
        <v>0.15521101734265058</v>
      </c>
      <c r="AH236" t="str">
        <f t="shared" si="37"/>
        <v>September</v>
      </c>
      <c r="AI236">
        <f t="shared" si="38"/>
        <v>2024</v>
      </c>
    </row>
    <row r="237" spans="1:35">
      <c r="A237" t="s">
        <v>827</v>
      </c>
      <c r="B237" s="2">
        <v>45598</v>
      </c>
      <c r="C237" s="2">
        <v>45599</v>
      </c>
      <c r="D237" t="s">
        <v>828</v>
      </c>
      <c r="E237" t="s">
        <v>132</v>
      </c>
      <c r="F237" t="s">
        <v>51</v>
      </c>
      <c r="G237" t="s">
        <v>77</v>
      </c>
      <c r="H237" t="s">
        <v>40</v>
      </c>
      <c r="I237" t="s">
        <v>123</v>
      </c>
      <c r="J237" t="s">
        <v>42</v>
      </c>
      <c r="K237" t="s">
        <v>138</v>
      </c>
      <c r="L237" t="s">
        <v>829</v>
      </c>
      <c r="M237" t="s">
        <v>73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46</v>
      </c>
      <c r="U237" t="s">
        <v>47</v>
      </c>
      <c r="V237" t="str">
        <f t="shared" si="29"/>
        <v>Valid</v>
      </c>
      <c r="W237">
        <f t="shared" si="30"/>
        <v>1</v>
      </c>
      <c r="Y237" t="str">
        <f t="shared" si="31"/>
        <v>OK</v>
      </c>
      <c r="Z237" t="str">
        <f t="shared" si="32"/>
        <v>OK</v>
      </c>
      <c r="AA237" t="str">
        <f t="shared" si="33"/>
        <v>OK</v>
      </c>
      <c r="AB237" t="str">
        <f t="shared" si="34"/>
        <v>Valid</v>
      </c>
      <c r="AC237" t="str">
        <f>IF(OR(AB237="Invalid Discount",V237="Invalid Shipping"),
"Invalid",
IF(OR(Y237="Missing Region",
Z237="Missing Ship Mode",
AA237="Missing Discount",
X237="Flagged for Review"),
"Warning",
"Clean"))</f>
        <v>Clean</v>
      </c>
      <c r="AD237">
        <f t="shared" si="35"/>
        <v>0.05</v>
      </c>
      <c r="AE237">
        <f>N237*O237*(1-AD237)</f>
        <v>15226.352999999999</v>
      </c>
      <c r="AF237">
        <f>AE237-R237</f>
        <v>4081.0729999999985</v>
      </c>
      <c r="AG237" s="3">
        <f t="shared" si="36"/>
        <v>0.26802695300706603</v>
      </c>
      <c r="AH237" t="str">
        <f t="shared" si="37"/>
        <v>November</v>
      </c>
      <c r="AI237">
        <f t="shared" si="38"/>
        <v>2024</v>
      </c>
    </row>
    <row r="238" spans="1:35">
      <c r="A238" t="s">
        <v>830</v>
      </c>
      <c r="B238" s="2">
        <v>45579</v>
      </c>
      <c r="C238" s="2">
        <v>45586</v>
      </c>
      <c r="D238" t="s">
        <v>831</v>
      </c>
      <c r="E238" t="s">
        <v>128</v>
      </c>
      <c r="F238" t="s">
        <v>104</v>
      </c>
      <c r="G238" t="s">
        <v>39</v>
      </c>
      <c r="H238" t="s">
        <v>150</v>
      </c>
      <c r="I238" t="s">
        <v>151</v>
      </c>
      <c r="J238" t="s">
        <v>55</v>
      </c>
      <c r="K238" t="s">
        <v>172</v>
      </c>
      <c r="L238" t="s">
        <v>832</v>
      </c>
      <c r="M238" t="s">
        <v>64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46</v>
      </c>
      <c r="U238" t="s">
        <v>47</v>
      </c>
      <c r="V238" t="str">
        <f t="shared" si="29"/>
        <v>Valid</v>
      </c>
      <c r="W238">
        <f t="shared" si="30"/>
        <v>7</v>
      </c>
      <c r="Y238" t="str">
        <f t="shared" si="31"/>
        <v>OK</v>
      </c>
      <c r="Z238" t="str">
        <f t="shared" si="32"/>
        <v>OK</v>
      </c>
      <c r="AA238" t="str">
        <f t="shared" si="33"/>
        <v>OK</v>
      </c>
      <c r="AB238" t="str">
        <f t="shared" si="34"/>
        <v>Valid</v>
      </c>
      <c r="AC238" t="str">
        <f>IF(OR(AB238="Invalid Discount",V238="Invalid Shipping"),
"Invalid",
IF(OR(Y238="Missing Region",
Z238="Missing Ship Mode",
AA238="Missing Discount",
X238="Flagged for Review"),
"Warning",
"Clean"))</f>
        <v>Clean</v>
      </c>
      <c r="AD238">
        <f t="shared" si="35"/>
        <v>0</v>
      </c>
      <c r="AE238">
        <f>N238*O238*(1-AD238)</f>
        <v>24376.68</v>
      </c>
      <c r="AF238">
        <f>AE238-R238</f>
        <v>5843.2900000000009</v>
      </c>
      <c r="AG238" s="3">
        <f t="shared" si="36"/>
        <v>0.23970819652224998</v>
      </c>
      <c r="AH238" t="str">
        <f t="shared" si="37"/>
        <v>October</v>
      </c>
      <c r="AI238">
        <f t="shared" si="38"/>
        <v>2024</v>
      </c>
    </row>
    <row r="239" spans="1:35">
      <c r="A239" t="s">
        <v>833</v>
      </c>
      <c r="B239" s="2">
        <v>45531</v>
      </c>
      <c r="C239" s="2">
        <v>45531</v>
      </c>
      <c r="D239" t="s">
        <v>834</v>
      </c>
      <c r="E239" t="s">
        <v>50</v>
      </c>
      <c r="F239" t="s">
        <v>38</v>
      </c>
      <c r="G239" t="s">
        <v>39</v>
      </c>
      <c r="H239" t="s">
        <v>251</v>
      </c>
      <c r="I239" t="s">
        <v>252</v>
      </c>
      <c r="J239" t="s">
        <v>88</v>
      </c>
      <c r="K239" t="s">
        <v>94</v>
      </c>
      <c r="L239" t="s">
        <v>835</v>
      </c>
      <c r="M239" t="s">
        <v>73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46</v>
      </c>
      <c r="U239" t="s">
        <v>47</v>
      </c>
      <c r="V239" t="str">
        <f t="shared" si="29"/>
        <v>Valid</v>
      </c>
      <c r="W239">
        <f t="shared" si="30"/>
        <v>0</v>
      </c>
      <c r="Y239" t="str">
        <f t="shared" si="31"/>
        <v>OK</v>
      </c>
      <c r="Z239" t="str">
        <f t="shared" si="32"/>
        <v>OK</v>
      </c>
      <c r="AA239" t="str">
        <f t="shared" si="33"/>
        <v>OK</v>
      </c>
      <c r="AB239" t="str">
        <f t="shared" si="34"/>
        <v>Valid</v>
      </c>
      <c r="AC239" t="str">
        <f>IF(OR(AB239="Invalid Discount",V239="Invalid Shipping"),
"Invalid",
IF(OR(Y239="Missing Region",
Z239="Missing Ship Mode",
AA239="Missing Discount",
X239="Flagged for Review"),
"Warning",
"Clean"))</f>
        <v>Clean</v>
      </c>
      <c r="AD239">
        <f t="shared" si="35"/>
        <v>0</v>
      </c>
      <c r="AE239">
        <f>N239*O239*(1-AD239)</f>
        <v>20972.7</v>
      </c>
      <c r="AF239">
        <f>AE239-R239</f>
        <v>7467.8200000000015</v>
      </c>
      <c r="AG239" s="3">
        <f t="shared" si="36"/>
        <v>0.35607337157352181</v>
      </c>
      <c r="AH239" t="str">
        <f t="shared" si="37"/>
        <v>August</v>
      </c>
      <c r="AI239">
        <f t="shared" si="38"/>
        <v>2024</v>
      </c>
    </row>
    <row r="240" spans="1:35">
      <c r="A240" t="s">
        <v>836</v>
      </c>
      <c r="B240" s="2">
        <v>45303</v>
      </c>
      <c r="C240" s="2">
        <v>45308</v>
      </c>
      <c r="D240" t="s">
        <v>837</v>
      </c>
      <c r="E240" t="s">
        <v>67</v>
      </c>
      <c r="F240" t="s">
        <v>38</v>
      </c>
      <c r="G240" t="s">
        <v>68</v>
      </c>
      <c r="H240" t="s">
        <v>98</v>
      </c>
      <c r="I240" t="s">
        <v>99</v>
      </c>
      <c r="J240" t="s">
        <v>42</v>
      </c>
      <c r="K240" t="s">
        <v>138</v>
      </c>
      <c r="L240" t="s">
        <v>838</v>
      </c>
      <c r="M240" t="s">
        <v>64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46</v>
      </c>
      <c r="U240" t="s">
        <v>47</v>
      </c>
      <c r="V240" t="str">
        <f t="shared" si="29"/>
        <v>Valid</v>
      </c>
      <c r="W240">
        <f t="shared" si="30"/>
        <v>5</v>
      </c>
      <c r="Y240" t="str">
        <f t="shared" si="31"/>
        <v>OK</v>
      </c>
      <c r="Z240" t="str">
        <f t="shared" si="32"/>
        <v>OK</v>
      </c>
      <c r="AA240" t="str">
        <f t="shared" si="33"/>
        <v>OK</v>
      </c>
      <c r="AB240" t="str">
        <f t="shared" si="34"/>
        <v>Valid</v>
      </c>
      <c r="AC240" t="str">
        <f>IF(OR(AB240="Invalid Discount",V240="Invalid Shipping"),
"Invalid",
IF(OR(Y240="Missing Region",
Z240="Missing Ship Mode",
AA240="Missing Discount",
X240="Flagged for Review"),
"Warning",
"Clean"))</f>
        <v>Clean</v>
      </c>
      <c r="AD240">
        <f t="shared" si="35"/>
        <v>0.55000000000000004</v>
      </c>
      <c r="AE240">
        <f>N240*O240*(1-AD240)</f>
        <v>12615.907499999999</v>
      </c>
      <c r="AF240">
        <f>AE240-R240</f>
        <v>-6222.8425000000007</v>
      </c>
      <c r="AG240" s="3">
        <f t="shared" si="36"/>
        <v>-0.4932536561480021</v>
      </c>
      <c r="AH240" t="str">
        <f t="shared" si="37"/>
        <v>January</v>
      </c>
      <c r="AI240">
        <f t="shared" si="38"/>
        <v>2024</v>
      </c>
    </row>
    <row r="241" spans="1:35">
      <c r="A241" t="s">
        <v>839</v>
      </c>
      <c r="B241" s="2">
        <v>45556</v>
      </c>
      <c r="C241" s="2">
        <v>45556</v>
      </c>
      <c r="D241" t="s">
        <v>840</v>
      </c>
      <c r="E241" t="s">
        <v>279</v>
      </c>
      <c r="F241" t="s">
        <v>104</v>
      </c>
      <c r="G241" t="s">
        <v>68</v>
      </c>
      <c r="H241" t="s">
        <v>189</v>
      </c>
      <c r="I241" t="s">
        <v>190</v>
      </c>
      <c r="J241" t="s">
        <v>88</v>
      </c>
      <c r="K241" t="s">
        <v>289</v>
      </c>
      <c r="L241" t="s">
        <v>841</v>
      </c>
      <c r="M241" t="s">
        <v>64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46</v>
      </c>
      <c r="U241" t="s">
        <v>47</v>
      </c>
      <c r="V241" t="str">
        <f t="shared" si="29"/>
        <v>Valid</v>
      </c>
      <c r="W241">
        <f t="shared" si="30"/>
        <v>0</v>
      </c>
      <c r="Y241" t="str">
        <f t="shared" si="31"/>
        <v>OK</v>
      </c>
      <c r="Z241" t="str">
        <f t="shared" si="32"/>
        <v>OK</v>
      </c>
      <c r="AA241" t="str">
        <f t="shared" si="33"/>
        <v>OK</v>
      </c>
      <c r="AB241" t="str">
        <f t="shared" si="34"/>
        <v>Valid</v>
      </c>
      <c r="AC241" t="str">
        <f>IF(OR(AB241="Invalid Discount",V241="Invalid Shipping"),
"Invalid",
IF(OR(Y241="Missing Region",
Z241="Missing Ship Mode",
AA241="Missing Discount",
X241="Flagged for Review"),
"Warning",
"Clean"))</f>
        <v>Clean</v>
      </c>
      <c r="AD241">
        <f t="shared" si="35"/>
        <v>0.2</v>
      </c>
      <c r="AE241">
        <f>N241*O241*(1-AD241)</f>
        <v>3136.096</v>
      </c>
      <c r="AF241">
        <f>AE241-R241</f>
        <v>856.60600000000022</v>
      </c>
      <c r="AG241" s="3">
        <f t="shared" si="36"/>
        <v>0.273144061916472</v>
      </c>
      <c r="AH241" t="str">
        <f t="shared" si="37"/>
        <v>September</v>
      </c>
      <c r="AI241">
        <f t="shared" si="38"/>
        <v>2024</v>
      </c>
    </row>
    <row r="242" spans="1:35">
      <c r="A242" t="s">
        <v>842</v>
      </c>
      <c r="B242" s="2">
        <v>45643</v>
      </c>
      <c r="C242" s="2">
        <v>45649</v>
      </c>
      <c r="D242" t="s">
        <v>843</v>
      </c>
      <c r="E242" t="s">
        <v>142</v>
      </c>
      <c r="F242" t="s">
        <v>104</v>
      </c>
      <c r="G242" t="s">
        <v>68</v>
      </c>
      <c r="H242" t="s">
        <v>69</v>
      </c>
      <c r="I242" t="s">
        <v>70</v>
      </c>
      <c r="J242" t="s">
        <v>42</v>
      </c>
      <c r="K242" t="s">
        <v>167</v>
      </c>
      <c r="L242" t="s">
        <v>844</v>
      </c>
      <c r="M242" t="s">
        <v>64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46</v>
      </c>
      <c r="U242" t="s">
        <v>47</v>
      </c>
      <c r="V242" t="str">
        <f t="shared" si="29"/>
        <v>Valid</v>
      </c>
      <c r="W242">
        <f t="shared" si="30"/>
        <v>6</v>
      </c>
      <c r="Y242" t="str">
        <f t="shared" si="31"/>
        <v>OK</v>
      </c>
      <c r="Z242" t="str">
        <f t="shared" si="32"/>
        <v>OK</v>
      </c>
      <c r="AA242" t="str">
        <f t="shared" si="33"/>
        <v>OK</v>
      </c>
      <c r="AB242" t="str">
        <f t="shared" si="34"/>
        <v>Valid</v>
      </c>
      <c r="AC242" t="str">
        <f>IF(OR(AB242="Invalid Discount",V242="Invalid Shipping"),
"Invalid",
IF(OR(Y242="Missing Region",
Z242="Missing Ship Mode",
AA242="Missing Discount",
X242="Flagged for Review"),
"Warning",
"Clean"))</f>
        <v>Clean</v>
      </c>
      <c r="AD242">
        <f t="shared" si="35"/>
        <v>0</v>
      </c>
      <c r="AE242">
        <f>N242*O242*(1-AD242)</f>
        <v>20835.899999999998</v>
      </c>
      <c r="AF242">
        <f>AE242-R242</f>
        <v>6907.7099999999973</v>
      </c>
      <c r="AG242" s="3">
        <f t="shared" si="36"/>
        <v>0.33152923559817421</v>
      </c>
      <c r="AH242" t="str">
        <f t="shared" si="37"/>
        <v>December</v>
      </c>
      <c r="AI242">
        <f t="shared" si="38"/>
        <v>2024</v>
      </c>
    </row>
    <row r="243" spans="1:35">
      <c r="A243" t="s">
        <v>845</v>
      </c>
      <c r="B243" s="2">
        <v>45844</v>
      </c>
      <c r="C243" s="2">
        <v>45844</v>
      </c>
      <c r="D243" t="s">
        <v>846</v>
      </c>
      <c r="E243" t="s">
        <v>146</v>
      </c>
      <c r="F243" t="s">
        <v>104</v>
      </c>
      <c r="G243" t="s">
        <v>39</v>
      </c>
      <c r="H243" t="s">
        <v>251</v>
      </c>
      <c r="I243" t="s">
        <v>252</v>
      </c>
      <c r="J243" t="s">
        <v>42</v>
      </c>
      <c r="K243" t="s">
        <v>138</v>
      </c>
      <c r="L243" t="s">
        <v>847</v>
      </c>
      <c r="M243" t="s">
        <v>73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125</v>
      </c>
      <c r="U243" t="s">
        <v>117</v>
      </c>
      <c r="V243" t="str">
        <f t="shared" si="29"/>
        <v>Valid</v>
      </c>
      <c r="W243">
        <f t="shared" si="30"/>
        <v>0</v>
      </c>
      <c r="Y243" t="str">
        <f t="shared" si="31"/>
        <v>OK</v>
      </c>
      <c r="Z243" t="str">
        <f t="shared" si="32"/>
        <v>OK</v>
      </c>
      <c r="AA243" t="str">
        <f t="shared" si="33"/>
        <v>OK</v>
      </c>
      <c r="AB243" t="str">
        <f t="shared" si="34"/>
        <v>Valid</v>
      </c>
      <c r="AC243" t="str">
        <f>IF(OR(AB243="Invalid Discount",V243="Invalid Shipping"),
"Invalid",
IF(OR(Y243="Missing Region",
Z243="Missing Ship Mode",
AA243="Missing Discount",
X243="Flagged for Review"),
"Warning",
"Clean"))</f>
        <v>Clean</v>
      </c>
      <c r="AD243">
        <f t="shared" si="35"/>
        <v>0.25</v>
      </c>
      <c r="AE243">
        <f>N243*O243*(1-AD243)</f>
        <v>1212.9000000000001</v>
      </c>
      <c r="AF243">
        <f>AE243-R243</f>
        <v>522.38000000000011</v>
      </c>
      <c r="AG243" s="3">
        <f t="shared" si="36"/>
        <v>0.4306867837414462</v>
      </c>
      <c r="AH243" t="str">
        <f t="shared" si="37"/>
        <v>July</v>
      </c>
      <c r="AI243">
        <f t="shared" si="38"/>
        <v>2025</v>
      </c>
    </row>
    <row r="244" spans="1:35">
      <c r="A244" t="s">
        <v>848</v>
      </c>
      <c r="B244" s="2">
        <v>45695</v>
      </c>
      <c r="C244" s="2">
        <v>45695</v>
      </c>
      <c r="D244" t="s">
        <v>849</v>
      </c>
      <c r="E244" t="s">
        <v>67</v>
      </c>
      <c r="F244" t="s">
        <v>38</v>
      </c>
      <c r="G244" t="s">
        <v>39</v>
      </c>
      <c r="H244" t="s">
        <v>150</v>
      </c>
      <c r="I244" t="s">
        <v>151</v>
      </c>
      <c r="J244" t="s">
        <v>42</v>
      </c>
      <c r="K244" t="s">
        <v>62</v>
      </c>
      <c r="L244" t="s">
        <v>850</v>
      </c>
      <c r="M244" t="s">
        <v>45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46</v>
      </c>
      <c r="U244" t="s">
        <v>47</v>
      </c>
      <c r="V244" t="str">
        <f t="shared" si="29"/>
        <v>Valid</v>
      </c>
      <c r="W244">
        <f t="shared" si="30"/>
        <v>0</v>
      </c>
      <c r="Y244" t="str">
        <f t="shared" si="31"/>
        <v>OK</v>
      </c>
      <c r="Z244" t="str">
        <f t="shared" si="32"/>
        <v>OK</v>
      </c>
      <c r="AA244" t="str">
        <f t="shared" si="33"/>
        <v>OK</v>
      </c>
      <c r="AB244" t="str">
        <f t="shared" si="34"/>
        <v>Valid</v>
      </c>
      <c r="AC244" t="str">
        <f>IF(OR(AB244="Invalid Discount",V244="Invalid Shipping"),
"Invalid",
IF(OR(Y244="Missing Region",
Z244="Missing Ship Mode",
AA244="Missing Discount",
X244="Flagged for Review"),
"Warning",
"Clean"))</f>
        <v>Clean</v>
      </c>
      <c r="AD244">
        <f t="shared" si="35"/>
        <v>0.05</v>
      </c>
      <c r="AE244">
        <f>N244*O244*(1-AD244)</f>
        <v>5697.8339999999998</v>
      </c>
      <c r="AF244">
        <f>AE244-R244</f>
        <v>1446.3339999999998</v>
      </c>
      <c r="AG244" s="3">
        <f t="shared" si="36"/>
        <v>0.25383926593860051</v>
      </c>
      <c r="AH244" t="str">
        <f t="shared" si="37"/>
        <v>February</v>
      </c>
      <c r="AI244">
        <f t="shared" si="38"/>
        <v>2025</v>
      </c>
    </row>
    <row r="245" spans="1:35">
      <c r="A245" t="s">
        <v>851</v>
      </c>
      <c r="B245" s="2">
        <v>45867</v>
      </c>
      <c r="C245" s="2">
        <v>45871</v>
      </c>
      <c r="D245" t="s">
        <v>852</v>
      </c>
      <c r="E245" t="s">
        <v>146</v>
      </c>
      <c r="F245" t="s">
        <v>51</v>
      </c>
      <c r="G245" t="s">
        <v>219</v>
      </c>
      <c r="H245" t="s">
        <v>86</v>
      </c>
      <c r="I245" t="s">
        <v>87</v>
      </c>
      <c r="J245" t="s">
        <v>88</v>
      </c>
      <c r="K245" t="s">
        <v>89</v>
      </c>
      <c r="L245" t="s">
        <v>853</v>
      </c>
      <c r="M245" t="s">
        <v>64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46</v>
      </c>
      <c r="U245" t="s">
        <v>47</v>
      </c>
      <c r="V245" t="str">
        <f t="shared" si="29"/>
        <v>Valid</v>
      </c>
      <c r="W245">
        <f t="shared" si="30"/>
        <v>4</v>
      </c>
      <c r="Y245" t="str">
        <f t="shared" si="31"/>
        <v>Missing Region</v>
      </c>
      <c r="Z245" t="str">
        <f t="shared" si="32"/>
        <v>OK</v>
      </c>
      <c r="AA245" t="str">
        <f t="shared" si="33"/>
        <v>OK</v>
      </c>
      <c r="AB245" t="str">
        <f t="shared" si="34"/>
        <v>Valid</v>
      </c>
      <c r="AC245" t="str">
        <f>IF(OR(AB245="Invalid Discount",V245="Invalid Shipping"),
"Invalid",
IF(OR(Y245="Missing Region",
Z245="Missing Ship Mode",
AA245="Missing Discount",
X245="Flagged for Review"),
"Warning",
"Clean"))</f>
        <v>Warning</v>
      </c>
      <c r="AD245">
        <f t="shared" si="35"/>
        <v>0.1</v>
      </c>
      <c r="AE245">
        <f>N245*O245*(1-AD245)</f>
        <v>4049.5140000000001</v>
      </c>
      <c r="AF245">
        <f>AE245-R245</f>
        <v>1540.3140000000003</v>
      </c>
      <c r="AG245" s="3">
        <f t="shared" si="36"/>
        <v>0.38037008885510715</v>
      </c>
      <c r="AH245" t="str">
        <f t="shared" si="37"/>
        <v>July</v>
      </c>
      <c r="AI245">
        <f t="shared" si="38"/>
        <v>2025</v>
      </c>
    </row>
    <row r="246" spans="1:35">
      <c r="A246" t="s">
        <v>854</v>
      </c>
      <c r="B246" s="2">
        <v>45527</v>
      </c>
      <c r="C246" s="2">
        <v>45528</v>
      </c>
      <c r="D246" t="s">
        <v>855</v>
      </c>
      <c r="E246" t="s">
        <v>93</v>
      </c>
      <c r="F246" t="s">
        <v>38</v>
      </c>
      <c r="G246" t="s">
        <v>68</v>
      </c>
      <c r="H246" t="s">
        <v>69</v>
      </c>
      <c r="I246" t="s">
        <v>70</v>
      </c>
      <c r="J246" t="s">
        <v>55</v>
      </c>
      <c r="K246" t="s">
        <v>172</v>
      </c>
      <c r="L246" t="s">
        <v>856</v>
      </c>
      <c r="M246" t="s">
        <v>58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46</v>
      </c>
      <c r="U246" t="s">
        <v>47</v>
      </c>
      <c r="V246" t="str">
        <f t="shared" si="29"/>
        <v>Valid</v>
      </c>
      <c r="W246">
        <f t="shared" si="30"/>
        <v>1</v>
      </c>
      <c r="Y246" t="str">
        <f t="shared" si="31"/>
        <v>OK</v>
      </c>
      <c r="Z246" t="str">
        <f t="shared" si="32"/>
        <v>OK</v>
      </c>
      <c r="AA246" t="str">
        <f t="shared" si="33"/>
        <v>OK</v>
      </c>
      <c r="AB246" t="str">
        <f t="shared" si="34"/>
        <v>Valid</v>
      </c>
      <c r="AC246" t="str">
        <f>IF(OR(AB246="Invalid Discount",V246="Invalid Shipping"),
"Invalid",
IF(OR(Y246="Missing Region",
Z246="Missing Ship Mode",
AA246="Missing Discount",
X246="Flagged for Review"),
"Warning",
"Clean"))</f>
        <v>Clean</v>
      </c>
      <c r="AD246">
        <f t="shared" si="35"/>
        <v>0</v>
      </c>
      <c r="AE246">
        <f>N246*O246*(1-AD246)</f>
        <v>6131.34</v>
      </c>
      <c r="AF246">
        <f>AE246-R246</f>
        <v>2070.46</v>
      </c>
      <c r="AG246" s="3">
        <f t="shared" si="36"/>
        <v>0.33768474754295147</v>
      </c>
      <c r="AH246" t="str">
        <f t="shared" si="37"/>
        <v>August</v>
      </c>
      <c r="AI246">
        <f t="shared" si="38"/>
        <v>2024</v>
      </c>
    </row>
    <row r="247" spans="1:35">
      <c r="A247" t="s">
        <v>857</v>
      </c>
      <c r="B247" s="2">
        <v>45583</v>
      </c>
      <c r="C247" s="2">
        <v>45589</v>
      </c>
      <c r="D247" t="s">
        <v>858</v>
      </c>
      <c r="E247" t="s">
        <v>93</v>
      </c>
      <c r="F247" t="s">
        <v>109</v>
      </c>
      <c r="G247" t="s">
        <v>68</v>
      </c>
      <c r="H247" t="s">
        <v>199</v>
      </c>
      <c r="I247" t="s">
        <v>200</v>
      </c>
      <c r="J247" t="s">
        <v>55</v>
      </c>
      <c r="K247" t="s">
        <v>80</v>
      </c>
      <c r="L247" t="s">
        <v>859</v>
      </c>
      <c r="M247" t="s">
        <v>45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46</v>
      </c>
      <c r="U247" t="s">
        <v>47</v>
      </c>
      <c r="V247" t="str">
        <f t="shared" si="29"/>
        <v>Valid</v>
      </c>
      <c r="W247">
        <f t="shared" si="30"/>
        <v>6</v>
      </c>
      <c r="Y247" t="str">
        <f t="shared" si="31"/>
        <v>OK</v>
      </c>
      <c r="Z247" t="str">
        <f t="shared" si="32"/>
        <v>OK</v>
      </c>
      <c r="AA247" t="str">
        <f t="shared" si="33"/>
        <v>OK</v>
      </c>
      <c r="AB247" t="str">
        <f t="shared" si="34"/>
        <v>Valid</v>
      </c>
      <c r="AC247" t="str">
        <f>IF(OR(AB247="Invalid Discount",V247="Invalid Shipping"),
"Invalid",
IF(OR(Y247="Missing Region",
Z247="Missing Ship Mode",
AA247="Missing Discount",
X247="Flagged for Review"),
"Warning",
"Clean"))</f>
        <v>Clean</v>
      </c>
      <c r="AD247">
        <f t="shared" si="35"/>
        <v>0</v>
      </c>
      <c r="AE247">
        <f>N247*O247*(1-AD247)</f>
        <v>9827.7899999999991</v>
      </c>
      <c r="AF247">
        <f>AE247-R247</f>
        <v>4349.5099999999993</v>
      </c>
      <c r="AG247" s="3">
        <f t="shared" si="36"/>
        <v>0.44257254174132737</v>
      </c>
      <c r="AH247" t="str">
        <f t="shared" si="37"/>
        <v>October</v>
      </c>
      <c r="AI247">
        <f t="shared" si="38"/>
        <v>2024</v>
      </c>
    </row>
    <row r="248" spans="1:35">
      <c r="A248" t="s">
        <v>860</v>
      </c>
      <c r="B248" s="2">
        <v>45416</v>
      </c>
      <c r="C248" s="2">
        <v>45421</v>
      </c>
      <c r="D248" t="s">
        <v>861</v>
      </c>
      <c r="E248" t="s">
        <v>76</v>
      </c>
      <c r="F248" t="s">
        <v>104</v>
      </c>
      <c r="G248" t="s">
        <v>39</v>
      </c>
      <c r="H248" t="s">
        <v>136</v>
      </c>
      <c r="I248" t="s">
        <v>137</v>
      </c>
      <c r="J248" t="s">
        <v>88</v>
      </c>
      <c r="K248" t="s">
        <v>289</v>
      </c>
      <c r="L248" t="s">
        <v>862</v>
      </c>
      <c r="M248" t="s">
        <v>58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116</v>
      </c>
      <c r="U248" t="s">
        <v>82</v>
      </c>
      <c r="V248" t="str">
        <f t="shared" si="29"/>
        <v>Valid</v>
      </c>
      <c r="W248">
        <f t="shared" si="30"/>
        <v>5</v>
      </c>
      <c r="Y248" t="str">
        <f t="shared" si="31"/>
        <v>OK</v>
      </c>
      <c r="Z248" t="str">
        <f t="shared" si="32"/>
        <v>OK</v>
      </c>
      <c r="AA248" t="str">
        <f t="shared" si="33"/>
        <v>OK</v>
      </c>
      <c r="AB248" t="str">
        <f t="shared" si="34"/>
        <v>Valid</v>
      </c>
      <c r="AC248" t="str">
        <f>IF(OR(AB248="Invalid Discount",V248="Invalid Shipping"),
"Invalid",
IF(OR(Y248="Missing Region",
Z248="Missing Ship Mode",
AA248="Missing Discount",
X248="Flagged for Review"),
"Warning",
"Clean"))</f>
        <v>Clean</v>
      </c>
      <c r="AD248">
        <f t="shared" si="35"/>
        <v>0.25</v>
      </c>
      <c r="AE248">
        <f>N248*O248*(1-AD248)</f>
        <v>521.88749999999993</v>
      </c>
      <c r="AF248">
        <f>AE248-R248</f>
        <v>77.36749999999995</v>
      </c>
      <c r="AG248" s="3">
        <f t="shared" si="36"/>
        <v>0.14824555100476627</v>
      </c>
      <c r="AH248" t="str">
        <f t="shared" si="37"/>
        <v>May</v>
      </c>
      <c r="AI248">
        <f t="shared" si="38"/>
        <v>2024</v>
      </c>
    </row>
    <row r="249" spans="1:35">
      <c r="A249" t="s">
        <v>863</v>
      </c>
      <c r="B249" s="2">
        <v>45498</v>
      </c>
      <c r="C249" s="2">
        <v>45505</v>
      </c>
      <c r="D249" t="s">
        <v>864</v>
      </c>
      <c r="E249" t="s">
        <v>132</v>
      </c>
      <c r="F249" t="s">
        <v>104</v>
      </c>
      <c r="G249" t="s">
        <v>39</v>
      </c>
      <c r="H249" t="s">
        <v>40</v>
      </c>
      <c r="I249" t="s">
        <v>41</v>
      </c>
      <c r="J249" t="s">
        <v>88</v>
      </c>
      <c r="K249" t="s">
        <v>89</v>
      </c>
      <c r="L249" t="s">
        <v>865</v>
      </c>
      <c r="M249" t="s">
        <v>45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46</v>
      </c>
      <c r="U249" t="s">
        <v>47</v>
      </c>
      <c r="V249" t="str">
        <f t="shared" si="29"/>
        <v>Valid</v>
      </c>
      <c r="W249">
        <f t="shared" si="30"/>
        <v>7</v>
      </c>
      <c r="Y249" t="str">
        <f t="shared" si="31"/>
        <v>OK</v>
      </c>
      <c r="Z249" t="str">
        <f t="shared" si="32"/>
        <v>OK</v>
      </c>
      <c r="AA249" t="str">
        <f t="shared" si="33"/>
        <v>OK</v>
      </c>
      <c r="AB249" t="str">
        <f t="shared" si="34"/>
        <v>Valid</v>
      </c>
      <c r="AC249" t="str">
        <f>IF(OR(AB249="Invalid Discount",V249="Invalid Shipping"),
"Invalid",
IF(OR(Y249="Missing Region",
Z249="Missing Ship Mode",
AA249="Missing Discount",
X249="Flagged for Review"),
"Warning",
"Clean"))</f>
        <v>Clean</v>
      </c>
      <c r="AD249">
        <f t="shared" si="35"/>
        <v>0.25</v>
      </c>
      <c r="AE249">
        <f>N249*O249*(1-AD249)</f>
        <v>14960.400000000001</v>
      </c>
      <c r="AF249">
        <f>AE249-R249</f>
        <v>2459.5600000000013</v>
      </c>
      <c r="AG249" s="3">
        <f t="shared" si="36"/>
        <v>0.16440469506162944</v>
      </c>
      <c r="AH249" t="str">
        <f t="shared" si="37"/>
        <v>July</v>
      </c>
      <c r="AI249">
        <f t="shared" si="38"/>
        <v>2024</v>
      </c>
    </row>
    <row r="250" spans="1:35">
      <c r="A250" t="s">
        <v>866</v>
      </c>
      <c r="B250" s="2">
        <v>45445</v>
      </c>
      <c r="C250" s="2">
        <v>45450</v>
      </c>
      <c r="D250" t="s">
        <v>867</v>
      </c>
      <c r="E250" t="s">
        <v>155</v>
      </c>
      <c r="F250" t="s">
        <v>109</v>
      </c>
      <c r="G250" t="s">
        <v>52</v>
      </c>
      <c r="H250" t="s">
        <v>53</v>
      </c>
      <c r="I250" t="s">
        <v>54</v>
      </c>
      <c r="J250" t="s">
        <v>42</v>
      </c>
      <c r="K250" t="s">
        <v>105</v>
      </c>
      <c r="L250" t="s">
        <v>868</v>
      </c>
      <c r="M250" t="s">
        <v>45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46</v>
      </c>
      <c r="U250" t="s">
        <v>47</v>
      </c>
      <c r="V250" t="str">
        <f t="shared" si="29"/>
        <v>Valid</v>
      </c>
      <c r="W250">
        <f t="shared" si="30"/>
        <v>5</v>
      </c>
      <c r="Y250" t="str">
        <f t="shared" si="31"/>
        <v>OK</v>
      </c>
      <c r="Z250" t="str">
        <f t="shared" si="32"/>
        <v>OK</v>
      </c>
      <c r="AA250" t="str">
        <f t="shared" si="33"/>
        <v>OK</v>
      </c>
      <c r="AB250" t="str">
        <f t="shared" si="34"/>
        <v>Valid</v>
      </c>
      <c r="AC250" t="str">
        <f>IF(OR(AB250="Invalid Discount",V250="Invalid Shipping"),
"Invalid",
IF(OR(Y250="Missing Region",
Z250="Missing Ship Mode",
AA250="Missing Discount",
X250="Flagged for Review"),
"Warning",
"Clean"))</f>
        <v>Clean</v>
      </c>
      <c r="AD250">
        <f t="shared" si="35"/>
        <v>0.15</v>
      </c>
      <c r="AE250">
        <f>N250*O250*(1-AD250)</f>
        <v>6027.5114999999996</v>
      </c>
      <c r="AF250">
        <f>AE250-R250</f>
        <v>1143.6914999999999</v>
      </c>
      <c r="AG250" s="3">
        <f t="shared" si="36"/>
        <v>0.18974522072666306</v>
      </c>
      <c r="AH250" t="str">
        <f t="shared" si="37"/>
        <v>June</v>
      </c>
      <c r="AI250">
        <f t="shared" si="38"/>
        <v>2024</v>
      </c>
    </row>
    <row r="251" spans="1:35">
      <c r="A251" t="s">
        <v>869</v>
      </c>
      <c r="B251" s="2">
        <v>45870</v>
      </c>
      <c r="C251" s="2">
        <v>45871</v>
      </c>
      <c r="D251" t="s">
        <v>870</v>
      </c>
      <c r="E251" t="s">
        <v>50</v>
      </c>
      <c r="F251" t="s">
        <v>104</v>
      </c>
      <c r="G251" t="s">
        <v>39</v>
      </c>
      <c r="H251" t="s">
        <v>40</v>
      </c>
      <c r="I251" t="s">
        <v>41</v>
      </c>
      <c r="J251" t="s">
        <v>55</v>
      </c>
      <c r="K251" t="s">
        <v>71</v>
      </c>
      <c r="L251" t="s">
        <v>871</v>
      </c>
      <c r="M251" t="s">
        <v>64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46</v>
      </c>
      <c r="U251" t="s">
        <v>47</v>
      </c>
      <c r="V251" t="str">
        <f t="shared" si="29"/>
        <v>Valid</v>
      </c>
      <c r="W251">
        <f t="shared" si="30"/>
        <v>1</v>
      </c>
      <c r="Y251" t="str">
        <f t="shared" si="31"/>
        <v>OK</v>
      </c>
      <c r="Z251" t="str">
        <f t="shared" si="32"/>
        <v>OK</v>
      </c>
      <c r="AA251" t="str">
        <f t="shared" si="33"/>
        <v>OK</v>
      </c>
      <c r="AB251" t="str">
        <f t="shared" si="34"/>
        <v>Valid</v>
      </c>
      <c r="AC251" t="str">
        <f>IF(OR(AB251="Invalid Discount",V251="Invalid Shipping"),
"Invalid",
IF(OR(Y251="Missing Region",
Z251="Missing Ship Mode",
AA251="Missing Discount",
X251="Flagged for Review"),
"Warning",
"Clean"))</f>
        <v>Clean</v>
      </c>
      <c r="AD251">
        <f t="shared" si="35"/>
        <v>0.2</v>
      </c>
      <c r="AE251">
        <f>N251*O251*(1-AD251)</f>
        <v>8928.9279999999999</v>
      </c>
      <c r="AF251">
        <f>AE251-R251</f>
        <v>3294.5479999999998</v>
      </c>
      <c r="AG251" s="3">
        <f t="shared" si="36"/>
        <v>0.36897464062875185</v>
      </c>
      <c r="AH251" t="str">
        <f t="shared" si="37"/>
        <v>August</v>
      </c>
      <c r="AI251">
        <f t="shared" si="38"/>
        <v>2025</v>
      </c>
    </row>
    <row r="252" spans="1:35">
      <c r="A252" t="s">
        <v>872</v>
      </c>
      <c r="B252" s="2">
        <v>45343</v>
      </c>
      <c r="C252" s="2">
        <v>45349</v>
      </c>
      <c r="D252" t="s">
        <v>873</v>
      </c>
      <c r="E252" t="s">
        <v>67</v>
      </c>
      <c r="F252" t="s">
        <v>51</v>
      </c>
      <c r="G252" t="s">
        <v>52</v>
      </c>
      <c r="H252" t="s">
        <v>113</v>
      </c>
      <c r="I252" t="s">
        <v>114</v>
      </c>
      <c r="J252" t="s">
        <v>55</v>
      </c>
      <c r="K252" t="s">
        <v>71</v>
      </c>
      <c r="L252" t="s">
        <v>874</v>
      </c>
      <c r="M252" t="s">
        <v>73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125</v>
      </c>
      <c r="U252" t="s">
        <v>117</v>
      </c>
      <c r="V252" t="str">
        <f t="shared" si="29"/>
        <v>Valid</v>
      </c>
      <c r="W252">
        <f t="shared" si="30"/>
        <v>6</v>
      </c>
      <c r="Y252" t="str">
        <f t="shared" si="31"/>
        <v>OK</v>
      </c>
      <c r="Z252" t="str">
        <f t="shared" si="32"/>
        <v>OK</v>
      </c>
      <c r="AA252" t="str">
        <f t="shared" si="33"/>
        <v>OK</v>
      </c>
      <c r="AB252" t="str">
        <f t="shared" si="34"/>
        <v>Valid</v>
      </c>
      <c r="AC252" t="str">
        <f>IF(OR(AB252="Invalid Discount",V252="Invalid Shipping"),
"Invalid",
IF(OR(Y252="Missing Region",
Z252="Missing Ship Mode",
AA252="Missing Discount",
X252="Flagged for Review"),
"Warning",
"Clean"))</f>
        <v>Clean</v>
      </c>
      <c r="AD252">
        <f t="shared" si="35"/>
        <v>0.15</v>
      </c>
      <c r="AE252">
        <f>N252*O252*(1-AD252)</f>
        <v>14338.904999999999</v>
      </c>
      <c r="AF252">
        <f>AE252-R252</f>
        <v>2441.2549999999992</v>
      </c>
      <c r="AG252" s="3">
        <f t="shared" si="36"/>
        <v>0.17025393501107647</v>
      </c>
      <c r="AH252" t="str">
        <f t="shared" si="37"/>
        <v>February</v>
      </c>
      <c r="AI252">
        <f t="shared" si="38"/>
        <v>2024</v>
      </c>
    </row>
    <row r="253" spans="1:35">
      <c r="A253" t="s">
        <v>875</v>
      </c>
      <c r="B253" s="2">
        <v>45753</v>
      </c>
      <c r="C253" s="2">
        <v>45757</v>
      </c>
      <c r="D253" t="s">
        <v>876</v>
      </c>
      <c r="E253" t="s">
        <v>76</v>
      </c>
      <c r="F253" t="s">
        <v>104</v>
      </c>
      <c r="G253" t="s">
        <v>77</v>
      </c>
      <c r="H253" t="s">
        <v>194</v>
      </c>
      <c r="I253" t="s">
        <v>195</v>
      </c>
      <c r="J253" t="s">
        <v>55</v>
      </c>
      <c r="K253" t="s">
        <v>56</v>
      </c>
      <c r="L253" t="s">
        <v>877</v>
      </c>
      <c r="M253" t="s">
        <v>45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46</v>
      </c>
      <c r="U253" t="s">
        <v>47</v>
      </c>
      <c r="V253" t="str">
        <f t="shared" si="29"/>
        <v>Valid</v>
      </c>
      <c r="W253">
        <f t="shared" si="30"/>
        <v>4</v>
      </c>
      <c r="Y253" t="str">
        <f t="shared" si="31"/>
        <v>OK</v>
      </c>
      <c r="Z253" t="str">
        <f t="shared" si="32"/>
        <v>OK</v>
      </c>
      <c r="AA253" t="str">
        <f t="shared" si="33"/>
        <v>OK</v>
      </c>
      <c r="AB253" t="str">
        <f t="shared" si="34"/>
        <v>Valid</v>
      </c>
      <c r="AC253" t="str">
        <f>IF(OR(AB253="Invalid Discount",V253="Invalid Shipping"),
"Invalid",
IF(OR(Y253="Missing Region",
Z253="Missing Ship Mode",
AA253="Missing Discount",
X253="Flagged for Review"),
"Warning",
"Clean"))</f>
        <v>Clean</v>
      </c>
      <c r="AD253">
        <f t="shared" si="35"/>
        <v>0</v>
      </c>
      <c r="AE253">
        <f>N253*O253*(1-AD253)</f>
        <v>6132.96</v>
      </c>
      <c r="AF253">
        <f>AE253-R253</f>
        <v>1251.8599999999997</v>
      </c>
      <c r="AG253" s="3">
        <f t="shared" si="36"/>
        <v>0.20412003339333692</v>
      </c>
      <c r="AH253" t="str">
        <f t="shared" si="37"/>
        <v>April</v>
      </c>
      <c r="AI253">
        <f t="shared" si="38"/>
        <v>2025</v>
      </c>
    </row>
    <row r="254" spans="1:35">
      <c r="A254" t="s">
        <v>878</v>
      </c>
      <c r="B254" s="2">
        <v>45833</v>
      </c>
      <c r="C254" s="2">
        <v>45836</v>
      </c>
      <c r="D254" t="s">
        <v>879</v>
      </c>
      <c r="E254" t="s">
        <v>67</v>
      </c>
      <c r="F254" t="s">
        <v>104</v>
      </c>
      <c r="G254" t="s">
        <v>39</v>
      </c>
      <c r="H254" t="s">
        <v>251</v>
      </c>
      <c r="I254" t="s">
        <v>252</v>
      </c>
      <c r="J254" t="s">
        <v>42</v>
      </c>
      <c r="K254" t="s">
        <v>138</v>
      </c>
      <c r="L254" t="s">
        <v>880</v>
      </c>
      <c r="M254" t="s">
        <v>64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125</v>
      </c>
      <c r="U254" t="s">
        <v>117</v>
      </c>
      <c r="V254" t="str">
        <f t="shared" si="29"/>
        <v>Valid</v>
      </c>
      <c r="W254">
        <f t="shared" si="30"/>
        <v>3</v>
      </c>
      <c r="Y254" t="str">
        <f t="shared" si="31"/>
        <v>OK</v>
      </c>
      <c r="Z254" t="str">
        <f t="shared" si="32"/>
        <v>OK</v>
      </c>
      <c r="AA254" t="str">
        <f t="shared" si="33"/>
        <v>OK</v>
      </c>
      <c r="AB254" t="str">
        <f t="shared" si="34"/>
        <v>Valid</v>
      </c>
      <c r="AC254" t="str">
        <f>IF(OR(AB254="Invalid Discount",V254="Invalid Shipping"),
"Invalid",
IF(OR(Y254="Missing Region",
Z254="Missing Ship Mode",
AA254="Missing Discount",
X254="Flagged for Review"),
"Warning",
"Clean"))</f>
        <v>Clean</v>
      </c>
      <c r="AD254">
        <f t="shared" si="35"/>
        <v>0.2</v>
      </c>
      <c r="AE254">
        <f>N254*O254*(1-AD254)</f>
        <v>2329.4720000000002</v>
      </c>
      <c r="AF254">
        <f>AE254-R254</f>
        <v>725.85200000000032</v>
      </c>
      <c r="AG254" s="3">
        <f t="shared" si="36"/>
        <v>0.31159507390515973</v>
      </c>
      <c r="AH254" t="str">
        <f t="shared" si="37"/>
        <v>June</v>
      </c>
      <c r="AI254">
        <f t="shared" si="38"/>
        <v>2025</v>
      </c>
    </row>
    <row r="255" spans="1:35">
      <c r="A255" t="s">
        <v>881</v>
      </c>
      <c r="B255" s="2">
        <v>45547</v>
      </c>
      <c r="C255" s="2">
        <v>45548</v>
      </c>
      <c r="D255" t="s">
        <v>882</v>
      </c>
      <c r="E255" t="s">
        <v>128</v>
      </c>
      <c r="F255" t="s">
        <v>51</v>
      </c>
      <c r="G255" t="s">
        <v>39</v>
      </c>
      <c r="H255" t="s">
        <v>40</v>
      </c>
      <c r="I255" t="s">
        <v>41</v>
      </c>
      <c r="J255" t="s">
        <v>88</v>
      </c>
      <c r="K255" t="s">
        <v>185</v>
      </c>
      <c r="L255" t="s">
        <v>883</v>
      </c>
      <c r="M255" t="s">
        <v>58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116</v>
      </c>
      <c r="U255" t="s">
        <v>82</v>
      </c>
      <c r="V255" t="str">
        <f t="shared" si="29"/>
        <v>Valid</v>
      </c>
      <c r="W255">
        <f t="shared" si="30"/>
        <v>1</v>
      </c>
      <c r="Y255" t="str">
        <f t="shared" si="31"/>
        <v>OK</v>
      </c>
      <c r="Z255" t="str">
        <f t="shared" si="32"/>
        <v>OK</v>
      </c>
      <c r="AA255" t="str">
        <f t="shared" si="33"/>
        <v>OK</v>
      </c>
      <c r="AB255" t="str">
        <f t="shared" si="34"/>
        <v>Valid</v>
      </c>
      <c r="AC255" t="str">
        <f>IF(OR(AB255="Invalid Discount",V255="Invalid Shipping"),
"Invalid",
IF(OR(Y255="Missing Region",
Z255="Missing Ship Mode",
AA255="Missing Discount",
X255="Flagged for Review"),
"Warning",
"Clean"))</f>
        <v>Clean</v>
      </c>
      <c r="AD255">
        <f t="shared" si="35"/>
        <v>0.05</v>
      </c>
      <c r="AE255">
        <f>N255*O255*(1-AD255)</f>
        <v>4746.9029999999993</v>
      </c>
      <c r="AF255">
        <f>AE255-R255</f>
        <v>1921.5229999999992</v>
      </c>
      <c r="AG255" s="3">
        <f t="shared" si="36"/>
        <v>0.40479508428969363</v>
      </c>
      <c r="AH255" t="str">
        <f t="shared" si="37"/>
        <v>September</v>
      </c>
      <c r="AI255">
        <f t="shared" si="38"/>
        <v>2024</v>
      </c>
    </row>
    <row r="256" spans="1:35">
      <c r="A256" t="s">
        <v>884</v>
      </c>
      <c r="B256" s="2">
        <v>45658</v>
      </c>
      <c r="C256" s="2">
        <v>45660</v>
      </c>
      <c r="D256" t="s">
        <v>885</v>
      </c>
      <c r="E256" t="s">
        <v>76</v>
      </c>
      <c r="F256" t="s">
        <v>38</v>
      </c>
      <c r="G256" t="s">
        <v>77</v>
      </c>
      <c r="H256" t="s">
        <v>86</v>
      </c>
      <c r="I256" t="s">
        <v>87</v>
      </c>
      <c r="J256" t="s">
        <v>88</v>
      </c>
      <c r="K256" t="s">
        <v>89</v>
      </c>
      <c r="L256" t="s">
        <v>886</v>
      </c>
      <c r="M256" t="s">
        <v>58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46</v>
      </c>
      <c r="U256" t="s">
        <v>117</v>
      </c>
      <c r="V256" t="str">
        <f t="shared" si="29"/>
        <v>Valid</v>
      </c>
      <c r="W256">
        <f t="shared" si="30"/>
        <v>2</v>
      </c>
      <c r="Y256" t="str">
        <f t="shared" si="31"/>
        <v>OK</v>
      </c>
      <c r="Z256" t="str">
        <f t="shared" si="32"/>
        <v>OK</v>
      </c>
      <c r="AA256" t="str">
        <f t="shared" si="33"/>
        <v>OK</v>
      </c>
      <c r="AB256" t="str">
        <f t="shared" si="34"/>
        <v>Valid</v>
      </c>
      <c r="AC256" t="str">
        <f>IF(OR(AB256="Invalid Discount",V256="Invalid Shipping"),
"Invalid",
IF(OR(Y256="Missing Region",
Z256="Missing Ship Mode",
AA256="Missing Discount",
X256="Flagged for Review"),
"Warning",
"Clean"))</f>
        <v>Clean</v>
      </c>
      <c r="AD256">
        <f t="shared" si="35"/>
        <v>0.2</v>
      </c>
      <c r="AE256">
        <f>N256*O256*(1-AD256)</f>
        <v>5603.08</v>
      </c>
      <c r="AF256">
        <f>AE256-R256</f>
        <v>2470.56</v>
      </c>
      <c r="AG256" s="3">
        <f t="shared" si="36"/>
        <v>0.44092891766671188</v>
      </c>
      <c r="AH256" t="str">
        <f t="shared" si="37"/>
        <v>January</v>
      </c>
      <c r="AI256">
        <f t="shared" si="38"/>
        <v>2025</v>
      </c>
    </row>
    <row r="257" spans="1:35">
      <c r="A257" t="s">
        <v>887</v>
      </c>
      <c r="B257" s="2">
        <v>45692</v>
      </c>
      <c r="C257" s="2">
        <v>45698</v>
      </c>
      <c r="D257" t="s">
        <v>888</v>
      </c>
      <c r="E257" t="s">
        <v>61</v>
      </c>
      <c r="F257" t="s">
        <v>104</v>
      </c>
      <c r="G257" t="s">
        <v>77</v>
      </c>
      <c r="H257" t="s">
        <v>78</v>
      </c>
      <c r="I257" t="s">
        <v>79</v>
      </c>
      <c r="J257" t="s">
        <v>88</v>
      </c>
      <c r="K257" t="s">
        <v>185</v>
      </c>
      <c r="L257" t="s">
        <v>889</v>
      </c>
      <c r="M257" t="s">
        <v>64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46</v>
      </c>
      <c r="U257" t="s">
        <v>47</v>
      </c>
      <c r="V257" t="str">
        <f t="shared" si="29"/>
        <v>Valid</v>
      </c>
      <c r="W257">
        <f t="shared" si="30"/>
        <v>6</v>
      </c>
      <c r="Y257" t="str">
        <f t="shared" si="31"/>
        <v>OK</v>
      </c>
      <c r="Z257" t="str">
        <f t="shared" si="32"/>
        <v>OK</v>
      </c>
      <c r="AA257" t="str">
        <f t="shared" si="33"/>
        <v>OK</v>
      </c>
      <c r="AB257" t="str">
        <f t="shared" si="34"/>
        <v>Valid</v>
      </c>
      <c r="AC257" t="str">
        <f>IF(OR(AB257="Invalid Discount",V257="Invalid Shipping"),
"Invalid",
IF(OR(Y257="Missing Region",
Z257="Missing Ship Mode",
AA257="Missing Discount",
X257="Flagged for Review"),
"Warning",
"Clean"))</f>
        <v>Clean</v>
      </c>
      <c r="AD257">
        <f t="shared" si="35"/>
        <v>0</v>
      </c>
      <c r="AE257">
        <f>N257*O257*(1-AD257)</f>
        <v>12810</v>
      </c>
      <c r="AF257">
        <f>AE257-R257</f>
        <v>3475.8799999999992</v>
      </c>
      <c r="AG257" s="3">
        <f t="shared" si="36"/>
        <v>0.27134113973458229</v>
      </c>
      <c r="AH257" t="str">
        <f t="shared" si="37"/>
        <v>February</v>
      </c>
      <c r="AI257">
        <f t="shared" si="38"/>
        <v>2025</v>
      </c>
    </row>
    <row r="258" spans="1:35">
      <c r="A258" t="s">
        <v>890</v>
      </c>
      <c r="B258" s="2">
        <v>45601</v>
      </c>
      <c r="C258" s="2">
        <v>45599</v>
      </c>
      <c r="D258" t="s">
        <v>891</v>
      </c>
      <c r="E258" t="s">
        <v>76</v>
      </c>
      <c r="F258" t="s">
        <v>38</v>
      </c>
      <c r="G258" t="s">
        <v>52</v>
      </c>
      <c r="H258" t="s">
        <v>113</v>
      </c>
      <c r="I258" t="s">
        <v>114</v>
      </c>
      <c r="J258" t="s">
        <v>55</v>
      </c>
      <c r="K258" t="s">
        <v>56</v>
      </c>
      <c r="L258" t="s">
        <v>892</v>
      </c>
      <c r="M258" t="s">
        <v>64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46</v>
      </c>
      <c r="U258" t="s">
        <v>47</v>
      </c>
      <c r="V258" t="str">
        <f t="shared" si="29"/>
        <v>Invalid Shipping</v>
      </c>
      <c r="W258">
        <f t="shared" si="30"/>
        <v>-2</v>
      </c>
      <c r="Y258" t="str">
        <f t="shared" si="31"/>
        <v>OK</v>
      </c>
      <c r="Z258" t="str">
        <f t="shared" si="32"/>
        <v>OK</v>
      </c>
      <c r="AA258" t="str">
        <f t="shared" si="33"/>
        <v>OK</v>
      </c>
      <c r="AB258" t="str">
        <f t="shared" si="34"/>
        <v>Valid</v>
      </c>
      <c r="AC258" t="str">
        <f>IF(OR(AB258="Invalid Discount",V258="Invalid Shipping"),
"Invalid",
IF(OR(Y258="Missing Region",
Z258="Missing Ship Mode",
AA258="Missing Discount",
X258="Flagged for Review"),
"Warning",
"Clean"))</f>
        <v>Invalid</v>
      </c>
      <c r="AD258">
        <f t="shared" si="35"/>
        <v>0.05</v>
      </c>
      <c r="AE258">
        <f>N258*O258*(1-AD258)</f>
        <v>19328.215500000002</v>
      </c>
      <c r="AF258">
        <f>AE258-R258</f>
        <v>7288.7155000000021</v>
      </c>
      <c r="AG258" s="3">
        <f t="shared" si="36"/>
        <v>0.3771023507058891</v>
      </c>
      <c r="AH258" t="str">
        <f t="shared" si="37"/>
        <v>November</v>
      </c>
      <c r="AI258">
        <f t="shared" si="38"/>
        <v>2024</v>
      </c>
    </row>
    <row r="259" spans="1:35">
      <c r="A259" t="s">
        <v>893</v>
      </c>
      <c r="B259" s="2">
        <v>45878</v>
      </c>
      <c r="C259" s="2">
        <v>45881</v>
      </c>
      <c r="D259" t="s">
        <v>894</v>
      </c>
      <c r="E259" t="s">
        <v>176</v>
      </c>
      <c r="F259" t="s">
        <v>104</v>
      </c>
      <c r="G259" t="s">
        <v>68</v>
      </c>
      <c r="H259" t="s">
        <v>189</v>
      </c>
      <c r="I259" t="s">
        <v>190</v>
      </c>
      <c r="J259" t="s">
        <v>88</v>
      </c>
      <c r="K259" t="s">
        <v>89</v>
      </c>
      <c r="L259" t="s">
        <v>895</v>
      </c>
      <c r="M259" t="s">
        <v>45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46</v>
      </c>
      <c r="U259" t="s">
        <v>82</v>
      </c>
      <c r="V259" t="str">
        <f t="shared" ref="V259:V322" si="39">IF(C259&lt;B259,"Invalid Shipping","Valid")</f>
        <v>Valid</v>
      </c>
      <c r="W259">
        <f t="shared" ref="W259:W322" si="40">C259-B259</f>
        <v>3</v>
      </c>
      <c r="Y259" t="str">
        <f t="shared" ref="Y259:Y322" si="41">IF(G259="Unknown","Missing Region","OK")</f>
        <v>OK</v>
      </c>
      <c r="Z259" t="str">
        <f t="shared" ref="Z259:Z322" si="42">IF(M259="Unknown","Missing Ship Mode","OK")</f>
        <v>OK</v>
      </c>
      <c r="AA259" t="str">
        <f t="shared" ref="AA259:AA322" si="43">IF(P259="","Missing Discount","OK")</f>
        <v>OK</v>
      </c>
      <c r="AB259" t="str">
        <f t="shared" ref="AB259:AB322" si="44">IF(OR(P259&lt;0,P259&gt;1),"Invalid Discount","Valid")</f>
        <v>Valid</v>
      </c>
      <c r="AC259" t="str">
        <f>IF(OR(AB259="Invalid Discount",V259="Invalid Shipping"),
"Invalid",
IF(OR(Y259="Missing Region",
Z259="Missing Ship Mode",
AA259="Missing Discount",
X259="Flagged for Review"),
"Warning",
"Clean"))</f>
        <v>Clean</v>
      </c>
      <c r="AD259">
        <f t="shared" ref="AD259:AD322" si="45">IF(P259="",0,P259)</f>
        <v>0</v>
      </c>
      <c r="AE259">
        <f>N259*O259*(1-AD259)</f>
        <v>6474.54</v>
      </c>
      <c r="AF259">
        <f>AE259-R259</f>
        <v>1378.63</v>
      </c>
      <c r="AG259" s="3">
        <f t="shared" ref="AG259:AG322" si="46">IF(AE259=0,0,AF259/AE259)</f>
        <v>0.21293095725719513</v>
      </c>
      <c r="AH259" t="str">
        <f t="shared" ref="AH259:AH322" si="47">TEXT(B259,"mmmm")</f>
        <v>August</v>
      </c>
      <c r="AI259">
        <f t="shared" ref="AI259:AI322" si="48">YEAR(B259)</f>
        <v>2025</v>
      </c>
    </row>
    <row r="260" spans="1:35">
      <c r="A260" t="s">
        <v>896</v>
      </c>
      <c r="B260" s="2">
        <v>45656</v>
      </c>
      <c r="C260" s="2">
        <v>45661</v>
      </c>
      <c r="D260" t="s">
        <v>897</v>
      </c>
      <c r="E260" t="s">
        <v>146</v>
      </c>
      <c r="F260" t="s">
        <v>104</v>
      </c>
      <c r="G260" t="s">
        <v>68</v>
      </c>
      <c r="H260" t="s">
        <v>262</v>
      </c>
      <c r="I260" t="s">
        <v>263</v>
      </c>
      <c r="J260" t="s">
        <v>55</v>
      </c>
      <c r="K260" t="s">
        <v>56</v>
      </c>
      <c r="L260" t="s">
        <v>898</v>
      </c>
      <c r="M260" t="s">
        <v>58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46</v>
      </c>
      <c r="U260" t="s">
        <v>47</v>
      </c>
      <c r="V260" t="str">
        <f t="shared" si="39"/>
        <v>Valid</v>
      </c>
      <c r="W260">
        <f t="shared" si="40"/>
        <v>5</v>
      </c>
      <c r="Y260" t="str">
        <f t="shared" si="41"/>
        <v>OK</v>
      </c>
      <c r="Z260" t="str">
        <f t="shared" si="42"/>
        <v>OK</v>
      </c>
      <c r="AA260" t="str">
        <f t="shared" si="43"/>
        <v>OK</v>
      </c>
      <c r="AB260" t="str">
        <f t="shared" si="44"/>
        <v>Valid</v>
      </c>
      <c r="AC260" t="str">
        <f>IF(OR(AB260="Invalid Discount",V260="Invalid Shipping"),
"Invalid",
IF(OR(Y260="Missing Region",
Z260="Missing Ship Mode",
AA260="Missing Discount",
X260="Flagged for Review"),
"Warning",
"Clean"))</f>
        <v>Clean</v>
      </c>
      <c r="AD260">
        <f t="shared" si="45"/>
        <v>0.25</v>
      </c>
      <c r="AE260">
        <f>N260*O260*(1-AD260)</f>
        <v>5580.1050000000005</v>
      </c>
      <c r="AF260">
        <f>AE260-R260</f>
        <v>1273.0950000000003</v>
      </c>
      <c r="AG260" s="3">
        <f t="shared" si="46"/>
        <v>0.22814893268137429</v>
      </c>
      <c r="AH260" t="str">
        <f t="shared" si="47"/>
        <v>December</v>
      </c>
      <c r="AI260">
        <f t="shared" si="48"/>
        <v>2024</v>
      </c>
    </row>
    <row r="261" spans="1:35">
      <c r="A261" t="s">
        <v>899</v>
      </c>
      <c r="B261" s="2">
        <v>45464</v>
      </c>
      <c r="C261" s="2">
        <v>45472</v>
      </c>
      <c r="D261" t="s">
        <v>900</v>
      </c>
      <c r="E261" t="s">
        <v>93</v>
      </c>
      <c r="F261" t="s">
        <v>38</v>
      </c>
      <c r="G261" t="s">
        <v>68</v>
      </c>
      <c r="H261" t="s">
        <v>262</v>
      </c>
      <c r="I261" t="s">
        <v>263</v>
      </c>
      <c r="J261" t="s">
        <v>88</v>
      </c>
      <c r="K261" t="s">
        <v>289</v>
      </c>
      <c r="L261" t="s">
        <v>901</v>
      </c>
      <c r="M261" t="s">
        <v>73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46</v>
      </c>
      <c r="U261" t="s">
        <v>47</v>
      </c>
      <c r="V261" t="str">
        <f t="shared" si="39"/>
        <v>Valid</v>
      </c>
      <c r="W261">
        <f t="shared" si="40"/>
        <v>8</v>
      </c>
      <c r="Y261" t="str">
        <f t="shared" si="41"/>
        <v>OK</v>
      </c>
      <c r="Z261" t="str">
        <f t="shared" si="42"/>
        <v>OK</v>
      </c>
      <c r="AA261" t="str">
        <f t="shared" si="43"/>
        <v>OK</v>
      </c>
      <c r="AB261" t="str">
        <f t="shared" si="44"/>
        <v>Valid</v>
      </c>
      <c r="AC261" t="str">
        <f>IF(OR(AB261="Invalid Discount",V261="Invalid Shipping"),
"Invalid",
IF(OR(Y261="Missing Region",
Z261="Missing Ship Mode",
AA261="Missing Discount",
X261="Flagged for Review"),
"Warning",
"Clean"))</f>
        <v>Clean</v>
      </c>
      <c r="AD261">
        <f t="shared" si="45"/>
        <v>0.2</v>
      </c>
      <c r="AE261">
        <f>N261*O261*(1-AD261)</f>
        <v>18265.088</v>
      </c>
      <c r="AF261">
        <f>AE261-R261</f>
        <v>7827.9480000000003</v>
      </c>
      <c r="AG261" s="3">
        <f t="shared" si="46"/>
        <v>0.42857433810338064</v>
      </c>
      <c r="AH261" t="str">
        <f t="shared" si="47"/>
        <v>June</v>
      </c>
      <c r="AI261">
        <f t="shared" si="48"/>
        <v>2024</v>
      </c>
    </row>
    <row r="262" spans="1:35">
      <c r="A262" t="s">
        <v>902</v>
      </c>
      <c r="B262" s="2">
        <v>45923</v>
      </c>
      <c r="C262" s="2">
        <v>45927</v>
      </c>
      <c r="D262" t="s">
        <v>903</v>
      </c>
      <c r="E262" t="s">
        <v>103</v>
      </c>
      <c r="F262" t="s">
        <v>104</v>
      </c>
      <c r="G262" t="s">
        <v>52</v>
      </c>
      <c r="H262" t="s">
        <v>113</v>
      </c>
      <c r="I262" t="s">
        <v>114</v>
      </c>
      <c r="J262" t="s">
        <v>42</v>
      </c>
      <c r="K262" t="s">
        <v>167</v>
      </c>
      <c r="L262" t="s">
        <v>904</v>
      </c>
      <c r="M262" t="s">
        <v>58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169</v>
      </c>
      <c r="U262" t="s">
        <v>117</v>
      </c>
      <c r="V262" t="str">
        <f t="shared" si="39"/>
        <v>Valid</v>
      </c>
      <c r="W262">
        <f t="shared" si="40"/>
        <v>4</v>
      </c>
      <c r="Y262" t="str">
        <f t="shared" si="41"/>
        <v>OK</v>
      </c>
      <c r="Z262" t="str">
        <f t="shared" si="42"/>
        <v>OK</v>
      </c>
      <c r="AA262" t="str">
        <f t="shared" si="43"/>
        <v>OK</v>
      </c>
      <c r="AB262" t="str">
        <f t="shared" si="44"/>
        <v>Valid</v>
      </c>
      <c r="AC262" t="str">
        <f>IF(OR(AB262="Invalid Discount",V262="Invalid Shipping"),
"Invalid",
IF(OR(Y262="Missing Region",
Z262="Missing Ship Mode",
AA262="Missing Discount",
X262="Flagged for Review"),
"Warning",
"Clean"))</f>
        <v>Clean</v>
      </c>
      <c r="AD262">
        <f t="shared" si="45"/>
        <v>0.25</v>
      </c>
      <c r="AE262">
        <f>N262*O262*(1-AD262)</f>
        <v>15209.880000000001</v>
      </c>
      <c r="AF262">
        <f>AE262-R262</f>
        <v>4318.7300000000014</v>
      </c>
      <c r="AG262" s="3">
        <f t="shared" si="46"/>
        <v>0.28394241111698454</v>
      </c>
      <c r="AH262" t="str">
        <f t="shared" si="47"/>
        <v>September</v>
      </c>
      <c r="AI262">
        <f t="shared" si="48"/>
        <v>2025</v>
      </c>
    </row>
    <row r="263" spans="1:35">
      <c r="A263" t="s">
        <v>905</v>
      </c>
      <c r="B263" s="2">
        <v>45826</v>
      </c>
      <c r="C263" s="2">
        <v>45832</v>
      </c>
      <c r="D263" t="s">
        <v>906</v>
      </c>
      <c r="E263" t="s">
        <v>146</v>
      </c>
      <c r="F263" t="s">
        <v>104</v>
      </c>
      <c r="G263" t="s">
        <v>39</v>
      </c>
      <c r="H263" t="s">
        <v>40</v>
      </c>
      <c r="I263" t="s">
        <v>41</v>
      </c>
      <c r="J263" t="s">
        <v>42</v>
      </c>
      <c r="K263" t="s">
        <v>105</v>
      </c>
      <c r="L263" t="s">
        <v>907</v>
      </c>
      <c r="M263" t="s">
        <v>73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169</v>
      </c>
      <c r="U263" t="s">
        <v>82</v>
      </c>
      <c r="V263" t="str">
        <f t="shared" si="39"/>
        <v>Valid</v>
      </c>
      <c r="W263">
        <f t="shared" si="40"/>
        <v>6</v>
      </c>
      <c r="Y263" t="str">
        <f t="shared" si="41"/>
        <v>OK</v>
      </c>
      <c r="Z263" t="str">
        <f t="shared" si="42"/>
        <v>OK</v>
      </c>
      <c r="AA263" t="str">
        <f t="shared" si="43"/>
        <v>OK</v>
      </c>
      <c r="AB263" t="str">
        <f t="shared" si="44"/>
        <v>Valid</v>
      </c>
      <c r="AC263" t="str">
        <f>IF(OR(AB263="Invalid Discount",V263="Invalid Shipping"),
"Invalid",
IF(OR(Y263="Missing Region",
Z263="Missing Ship Mode",
AA263="Missing Discount",
X263="Flagged for Review"),
"Warning",
"Clean"))</f>
        <v>Clean</v>
      </c>
      <c r="AD263">
        <f t="shared" si="45"/>
        <v>0.2</v>
      </c>
      <c r="AE263">
        <f>N263*O263*(1-AD263)</f>
        <v>1648.1760000000004</v>
      </c>
      <c r="AF263">
        <f>AE263-R263</f>
        <v>660.26600000000042</v>
      </c>
      <c r="AG263" s="3">
        <f t="shared" si="46"/>
        <v>0.40060406170214846</v>
      </c>
      <c r="AH263" t="str">
        <f t="shared" si="47"/>
        <v>June</v>
      </c>
      <c r="AI263">
        <f t="shared" si="48"/>
        <v>2025</v>
      </c>
    </row>
    <row r="264" spans="1:35">
      <c r="A264" t="s">
        <v>908</v>
      </c>
      <c r="B264" s="2">
        <v>45803</v>
      </c>
      <c r="C264" s="2">
        <v>45809</v>
      </c>
      <c r="D264" t="s">
        <v>644</v>
      </c>
      <c r="E264" t="s">
        <v>67</v>
      </c>
      <c r="F264" t="s">
        <v>51</v>
      </c>
      <c r="G264" t="s">
        <v>39</v>
      </c>
      <c r="H264" t="s">
        <v>365</v>
      </c>
      <c r="I264" t="s">
        <v>366</v>
      </c>
      <c r="J264" t="s">
        <v>88</v>
      </c>
      <c r="K264" t="s">
        <v>185</v>
      </c>
      <c r="L264" t="s">
        <v>909</v>
      </c>
      <c r="M264" t="s">
        <v>58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125</v>
      </c>
      <c r="U264" t="s">
        <v>117</v>
      </c>
      <c r="V264" t="str">
        <f t="shared" si="39"/>
        <v>Valid</v>
      </c>
      <c r="W264">
        <f t="shared" si="40"/>
        <v>6</v>
      </c>
      <c r="Y264" t="str">
        <f t="shared" si="41"/>
        <v>OK</v>
      </c>
      <c r="Z264" t="str">
        <f t="shared" si="42"/>
        <v>OK</v>
      </c>
      <c r="AA264" t="str">
        <f t="shared" si="43"/>
        <v>OK</v>
      </c>
      <c r="AB264" t="str">
        <f t="shared" si="44"/>
        <v>Valid</v>
      </c>
      <c r="AC264" t="str">
        <f>IF(OR(AB264="Invalid Discount",V264="Invalid Shipping"),
"Invalid",
IF(OR(Y264="Missing Region",
Z264="Missing Ship Mode",
AA264="Missing Discount",
X264="Flagged for Review"),
"Warning",
"Clean"))</f>
        <v>Clean</v>
      </c>
      <c r="AD264">
        <f t="shared" si="45"/>
        <v>0</v>
      </c>
      <c r="AE264">
        <f>N264*O264*(1-AD264)</f>
        <v>13399.44</v>
      </c>
      <c r="AF264">
        <f>AE264-R264</f>
        <v>4818.09</v>
      </c>
      <c r="AG264" s="3">
        <f t="shared" si="46"/>
        <v>0.3595739821962709</v>
      </c>
      <c r="AH264" t="str">
        <f t="shared" si="47"/>
        <v>May</v>
      </c>
      <c r="AI264">
        <f t="shared" si="48"/>
        <v>2025</v>
      </c>
    </row>
    <row r="265" spans="1:35">
      <c r="A265" t="s">
        <v>910</v>
      </c>
      <c r="B265" s="2">
        <v>45875</v>
      </c>
      <c r="C265" s="2">
        <v>45879</v>
      </c>
      <c r="D265" t="s">
        <v>911</v>
      </c>
      <c r="E265" t="s">
        <v>155</v>
      </c>
      <c r="F265" t="s">
        <v>51</v>
      </c>
      <c r="G265" t="s">
        <v>39</v>
      </c>
      <c r="H265" t="s">
        <v>365</v>
      </c>
      <c r="I265" t="s">
        <v>366</v>
      </c>
      <c r="J265" t="s">
        <v>42</v>
      </c>
      <c r="K265" t="s">
        <v>167</v>
      </c>
      <c r="L265" t="s">
        <v>912</v>
      </c>
      <c r="M265" t="s">
        <v>45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125</v>
      </c>
      <c r="U265" t="s">
        <v>117</v>
      </c>
      <c r="V265" t="str">
        <f t="shared" si="39"/>
        <v>Valid</v>
      </c>
      <c r="W265">
        <f t="shared" si="40"/>
        <v>4</v>
      </c>
      <c r="Y265" t="str">
        <f t="shared" si="41"/>
        <v>OK</v>
      </c>
      <c r="Z265" t="str">
        <f t="shared" si="42"/>
        <v>OK</v>
      </c>
      <c r="AA265" t="str">
        <f t="shared" si="43"/>
        <v>OK</v>
      </c>
      <c r="AB265" t="str">
        <f t="shared" si="44"/>
        <v>Valid</v>
      </c>
      <c r="AC265" t="str">
        <f>IF(OR(AB265="Invalid Discount",V265="Invalid Shipping"),
"Invalid",
IF(OR(Y265="Missing Region",
Z265="Missing Ship Mode",
AA265="Missing Discount",
X265="Flagged for Review"),
"Warning",
"Clean"))</f>
        <v>Clean</v>
      </c>
      <c r="AD265">
        <f t="shared" si="45"/>
        <v>0.1</v>
      </c>
      <c r="AE265">
        <f>N265*O265*(1-AD265)</f>
        <v>32743.844999999998</v>
      </c>
      <c r="AF265">
        <f>AE265-R265</f>
        <v>10291.794999999998</v>
      </c>
      <c r="AG265" s="3">
        <f t="shared" si="46"/>
        <v>0.314312353970647</v>
      </c>
      <c r="AH265" t="str">
        <f t="shared" si="47"/>
        <v>August</v>
      </c>
      <c r="AI265">
        <f t="shared" si="48"/>
        <v>2025</v>
      </c>
    </row>
    <row r="266" spans="1:35">
      <c r="A266" t="s">
        <v>913</v>
      </c>
      <c r="B266" s="2">
        <v>45428</v>
      </c>
      <c r="C266" s="2">
        <v>45433</v>
      </c>
      <c r="D266" t="s">
        <v>914</v>
      </c>
      <c r="E266" t="s">
        <v>176</v>
      </c>
      <c r="F266" t="s">
        <v>51</v>
      </c>
      <c r="G266" t="s">
        <v>52</v>
      </c>
      <c r="H266" t="s">
        <v>159</v>
      </c>
      <c r="I266" t="s">
        <v>160</v>
      </c>
      <c r="J266" t="s">
        <v>88</v>
      </c>
      <c r="K266" t="s">
        <v>94</v>
      </c>
      <c r="L266" t="s">
        <v>915</v>
      </c>
      <c r="M266" t="s">
        <v>73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46</v>
      </c>
      <c r="U266" t="s">
        <v>47</v>
      </c>
      <c r="V266" t="str">
        <f t="shared" si="39"/>
        <v>Valid</v>
      </c>
      <c r="W266">
        <f t="shared" si="40"/>
        <v>5</v>
      </c>
      <c r="Y266" t="str">
        <f t="shared" si="41"/>
        <v>OK</v>
      </c>
      <c r="Z266" t="str">
        <f t="shared" si="42"/>
        <v>OK</v>
      </c>
      <c r="AA266" t="str">
        <f t="shared" si="43"/>
        <v>OK</v>
      </c>
      <c r="AB266" t="str">
        <f t="shared" si="44"/>
        <v>Valid</v>
      </c>
      <c r="AC266" t="str">
        <f>IF(OR(AB266="Invalid Discount",V266="Invalid Shipping"),
"Invalid",
IF(OR(Y266="Missing Region",
Z266="Missing Ship Mode",
AA266="Missing Discount",
X266="Flagged for Review"),
"Warning",
"Clean"))</f>
        <v>Clean</v>
      </c>
      <c r="AD266">
        <f t="shared" si="45"/>
        <v>0</v>
      </c>
      <c r="AE266">
        <f>N266*O266*(1-AD266)</f>
        <v>6012.28</v>
      </c>
      <c r="AF266">
        <f>AE266-R266</f>
        <v>2084.64</v>
      </c>
      <c r="AG266" s="3">
        <f t="shared" si="46"/>
        <v>0.34673035853286938</v>
      </c>
      <c r="AH266" t="str">
        <f t="shared" si="47"/>
        <v>May</v>
      </c>
      <c r="AI266">
        <f t="shared" si="48"/>
        <v>2024</v>
      </c>
    </row>
    <row r="267" spans="1:35">
      <c r="A267" t="s">
        <v>916</v>
      </c>
      <c r="B267" s="2">
        <v>45610</v>
      </c>
      <c r="C267" s="2">
        <v>45618</v>
      </c>
      <c r="D267" t="s">
        <v>917</v>
      </c>
      <c r="E267" t="s">
        <v>128</v>
      </c>
      <c r="F267" t="s">
        <v>104</v>
      </c>
      <c r="G267" t="s">
        <v>52</v>
      </c>
      <c r="H267" t="s">
        <v>159</v>
      </c>
      <c r="I267" t="s">
        <v>160</v>
      </c>
      <c r="J267" t="s">
        <v>55</v>
      </c>
      <c r="K267" t="s">
        <v>172</v>
      </c>
      <c r="L267" t="s">
        <v>918</v>
      </c>
      <c r="M267" t="s">
        <v>58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116</v>
      </c>
      <c r="U267" t="s">
        <v>82</v>
      </c>
      <c r="V267" t="str">
        <f t="shared" si="39"/>
        <v>Valid</v>
      </c>
      <c r="W267">
        <f t="shared" si="40"/>
        <v>8</v>
      </c>
      <c r="Y267" t="str">
        <f t="shared" si="41"/>
        <v>OK</v>
      </c>
      <c r="Z267" t="str">
        <f t="shared" si="42"/>
        <v>OK</v>
      </c>
      <c r="AA267" t="str">
        <f t="shared" si="43"/>
        <v>OK</v>
      </c>
      <c r="AB267" t="str">
        <f t="shared" si="44"/>
        <v>Valid</v>
      </c>
      <c r="AC267" t="str">
        <f>IF(OR(AB267="Invalid Discount",V267="Invalid Shipping"),
"Invalid",
IF(OR(Y267="Missing Region",
Z267="Missing Ship Mode",
AA267="Missing Discount",
X267="Flagged for Review"),
"Warning",
"Clean"))</f>
        <v>Clean</v>
      </c>
      <c r="AD267">
        <f t="shared" si="45"/>
        <v>0.15</v>
      </c>
      <c r="AE267">
        <f>N267*O267*(1-AD267)</f>
        <v>495.0145</v>
      </c>
      <c r="AF267">
        <f>AE267-R267</f>
        <v>209.8845</v>
      </c>
      <c r="AG267" s="3">
        <f t="shared" si="46"/>
        <v>0.42399667080459258</v>
      </c>
      <c r="AH267" t="str">
        <f t="shared" si="47"/>
        <v>November</v>
      </c>
      <c r="AI267">
        <f t="shared" si="48"/>
        <v>2024</v>
      </c>
    </row>
    <row r="268" spans="1:35">
      <c r="A268" t="s">
        <v>919</v>
      </c>
      <c r="B268" s="2">
        <v>45780</v>
      </c>
      <c r="C268" s="2">
        <v>45787</v>
      </c>
      <c r="D268" t="s">
        <v>920</v>
      </c>
      <c r="E268" t="s">
        <v>93</v>
      </c>
      <c r="F268" t="s">
        <v>109</v>
      </c>
      <c r="G268" t="s">
        <v>77</v>
      </c>
      <c r="H268" t="s">
        <v>78</v>
      </c>
      <c r="I268" t="s">
        <v>79</v>
      </c>
      <c r="J268" t="s">
        <v>42</v>
      </c>
      <c r="K268" t="s">
        <v>138</v>
      </c>
      <c r="L268" t="s">
        <v>921</v>
      </c>
      <c r="M268" t="s">
        <v>45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46</v>
      </c>
      <c r="U268" t="s">
        <v>47</v>
      </c>
      <c r="V268" t="str">
        <f t="shared" si="39"/>
        <v>Valid</v>
      </c>
      <c r="W268">
        <f t="shared" si="40"/>
        <v>7</v>
      </c>
      <c r="Y268" t="str">
        <f t="shared" si="41"/>
        <v>OK</v>
      </c>
      <c r="Z268" t="str">
        <f t="shared" si="42"/>
        <v>OK</v>
      </c>
      <c r="AA268" t="str">
        <f t="shared" si="43"/>
        <v>OK</v>
      </c>
      <c r="AB268" t="str">
        <f t="shared" si="44"/>
        <v>Valid</v>
      </c>
      <c r="AC268" t="str">
        <f>IF(OR(AB268="Invalid Discount",V268="Invalid Shipping"),
"Invalid",
IF(OR(Y268="Missing Region",
Z268="Missing Ship Mode",
AA268="Missing Discount",
X268="Flagged for Review"),
"Warning",
"Clean"))</f>
        <v>Clean</v>
      </c>
      <c r="AD268">
        <f t="shared" si="45"/>
        <v>0</v>
      </c>
      <c r="AE268">
        <f>N268*O268*(1-AD268)</f>
        <v>13017.72</v>
      </c>
      <c r="AF268">
        <f>AE268-R268</f>
        <v>2847.1499999999996</v>
      </c>
      <c r="AG268" s="3">
        <f t="shared" si="46"/>
        <v>0.21871341525244051</v>
      </c>
      <c r="AH268" t="str">
        <f t="shared" si="47"/>
        <v>May</v>
      </c>
      <c r="AI268">
        <f t="shared" si="48"/>
        <v>2025</v>
      </c>
    </row>
    <row r="269" spans="1:35">
      <c r="A269" t="s">
        <v>922</v>
      </c>
      <c r="B269" s="2">
        <v>45805</v>
      </c>
      <c r="C269" s="2">
        <v>45812</v>
      </c>
      <c r="D269" t="s">
        <v>923</v>
      </c>
      <c r="E269" t="s">
        <v>176</v>
      </c>
      <c r="F269" t="s">
        <v>104</v>
      </c>
      <c r="G269" t="s">
        <v>52</v>
      </c>
      <c r="H269" t="s">
        <v>243</v>
      </c>
      <c r="I269" t="s">
        <v>244</v>
      </c>
      <c r="J269" t="s">
        <v>55</v>
      </c>
      <c r="K269" t="s">
        <v>71</v>
      </c>
      <c r="L269" t="s">
        <v>924</v>
      </c>
      <c r="M269" t="s">
        <v>64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46</v>
      </c>
      <c r="U269" t="s">
        <v>47</v>
      </c>
      <c r="V269" t="str">
        <f t="shared" si="39"/>
        <v>Valid</v>
      </c>
      <c r="W269">
        <f t="shared" si="40"/>
        <v>7</v>
      </c>
      <c r="Y269" t="str">
        <f t="shared" si="41"/>
        <v>OK</v>
      </c>
      <c r="Z269" t="str">
        <f t="shared" si="42"/>
        <v>OK</v>
      </c>
      <c r="AA269" t="str">
        <f t="shared" si="43"/>
        <v>OK</v>
      </c>
      <c r="AB269" t="str">
        <f t="shared" si="44"/>
        <v>Valid</v>
      </c>
      <c r="AC269" t="str">
        <f>IF(OR(AB269="Invalid Discount",V269="Invalid Shipping"),
"Invalid",
IF(OR(Y269="Missing Region",
Z269="Missing Ship Mode",
AA269="Missing Discount",
X269="Flagged for Review"),
"Warning",
"Clean"))</f>
        <v>Clean</v>
      </c>
      <c r="AD269">
        <f t="shared" si="45"/>
        <v>0.25</v>
      </c>
      <c r="AE269">
        <f>N269*O269*(1-AD269)</f>
        <v>785.40000000000009</v>
      </c>
      <c r="AF269">
        <f>AE269-R269</f>
        <v>228.18000000000006</v>
      </c>
      <c r="AG269" s="3">
        <f t="shared" si="46"/>
        <v>0.29052711993888469</v>
      </c>
      <c r="AH269" t="str">
        <f t="shared" si="47"/>
        <v>May</v>
      </c>
      <c r="AI269">
        <f t="shared" si="48"/>
        <v>2025</v>
      </c>
    </row>
    <row r="270" spans="1:35">
      <c r="A270" t="s">
        <v>925</v>
      </c>
      <c r="B270" s="2">
        <v>45886</v>
      </c>
      <c r="C270" s="2">
        <v>45886</v>
      </c>
      <c r="D270" t="s">
        <v>926</v>
      </c>
      <c r="E270" t="s">
        <v>142</v>
      </c>
      <c r="F270" t="s">
        <v>109</v>
      </c>
      <c r="G270" t="s">
        <v>39</v>
      </c>
      <c r="H270" t="s">
        <v>136</v>
      </c>
      <c r="I270" t="s">
        <v>137</v>
      </c>
      <c r="J270" t="s">
        <v>88</v>
      </c>
      <c r="K270" t="s">
        <v>89</v>
      </c>
      <c r="L270" t="s">
        <v>927</v>
      </c>
      <c r="M270" t="s">
        <v>64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46</v>
      </c>
      <c r="U270" t="s">
        <v>47</v>
      </c>
      <c r="V270" t="str">
        <f t="shared" si="39"/>
        <v>Valid</v>
      </c>
      <c r="W270">
        <f t="shared" si="40"/>
        <v>0</v>
      </c>
      <c r="Y270" t="str">
        <f t="shared" si="41"/>
        <v>OK</v>
      </c>
      <c r="Z270" t="str">
        <f t="shared" si="42"/>
        <v>OK</v>
      </c>
      <c r="AA270" t="str">
        <f t="shared" si="43"/>
        <v>OK</v>
      </c>
      <c r="AB270" t="str">
        <f t="shared" si="44"/>
        <v>Valid</v>
      </c>
      <c r="AC270" t="str">
        <f>IF(OR(AB270="Invalid Discount",V270="Invalid Shipping"),
"Invalid",
IF(OR(Y270="Missing Region",
Z270="Missing Ship Mode",
AA270="Missing Discount",
X270="Flagged for Review"),
"Warning",
"Clean"))</f>
        <v>Clean</v>
      </c>
      <c r="AD270">
        <f t="shared" si="45"/>
        <v>0.25</v>
      </c>
      <c r="AE270">
        <f>N270*O270*(1-AD270)</f>
        <v>3319.05</v>
      </c>
      <c r="AF270">
        <f>AE270-R270</f>
        <v>1194.4500000000003</v>
      </c>
      <c r="AG270" s="3">
        <f t="shared" si="46"/>
        <v>0.35987707325891449</v>
      </c>
      <c r="AH270" t="str">
        <f t="shared" si="47"/>
        <v>August</v>
      </c>
      <c r="AI270">
        <f t="shared" si="48"/>
        <v>2025</v>
      </c>
    </row>
    <row r="271" spans="1:35">
      <c r="A271" t="s">
        <v>928</v>
      </c>
      <c r="B271" s="2">
        <v>45698</v>
      </c>
      <c r="C271" s="2">
        <v>45700</v>
      </c>
      <c r="D271" t="s">
        <v>929</v>
      </c>
      <c r="E271" t="s">
        <v>132</v>
      </c>
      <c r="F271" t="s">
        <v>51</v>
      </c>
      <c r="G271" t="s">
        <v>77</v>
      </c>
      <c r="H271" t="s">
        <v>40</v>
      </c>
      <c r="I271" t="s">
        <v>123</v>
      </c>
      <c r="J271" t="s">
        <v>55</v>
      </c>
      <c r="K271" t="s">
        <v>56</v>
      </c>
      <c r="L271" t="s">
        <v>930</v>
      </c>
      <c r="M271" t="s">
        <v>58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46</v>
      </c>
      <c r="U271" t="s">
        <v>47</v>
      </c>
      <c r="V271" t="str">
        <f t="shared" si="39"/>
        <v>Valid</v>
      </c>
      <c r="W271">
        <f t="shared" si="40"/>
        <v>2</v>
      </c>
      <c r="Y271" t="str">
        <f t="shared" si="41"/>
        <v>OK</v>
      </c>
      <c r="Z271" t="str">
        <f t="shared" si="42"/>
        <v>OK</v>
      </c>
      <c r="AA271" t="str">
        <f t="shared" si="43"/>
        <v>OK</v>
      </c>
      <c r="AB271" t="str">
        <f t="shared" si="44"/>
        <v>Valid</v>
      </c>
      <c r="AC271" t="str">
        <f>IF(OR(AB271="Invalid Discount",V271="Invalid Shipping"),
"Invalid",
IF(OR(Y271="Missing Region",
Z271="Missing Ship Mode",
AA271="Missing Discount",
X271="Flagged for Review"),
"Warning",
"Clean"))</f>
        <v>Clean</v>
      </c>
      <c r="AD271">
        <f t="shared" si="45"/>
        <v>0</v>
      </c>
      <c r="AE271">
        <f>N271*O271*(1-AD271)</f>
        <v>1925.86</v>
      </c>
      <c r="AF271">
        <f>AE271-R271</f>
        <v>603.9699999999998</v>
      </c>
      <c r="AG271" s="3">
        <f t="shared" si="46"/>
        <v>0.31361054282242729</v>
      </c>
      <c r="AH271" t="str">
        <f t="shared" si="47"/>
        <v>February</v>
      </c>
      <c r="AI271">
        <f t="shared" si="48"/>
        <v>2025</v>
      </c>
    </row>
    <row r="272" spans="1:35">
      <c r="A272" t="s">
        <v>931</v>
      </c>
      <c r="B272" s="2">
        <v>45303</v>
      </c>
      <c r="C272" s="2">
        <v>45304</v>
      </c>
      <c r="D272" t="s">
        <v>932</v>
      </c>
      <c r="E272" t="s">
        <v>103</v>
      </c>
      <c r="F272" t="s">
        <v>104</v>
      </c>
      <c r="G272" t="s">
        <v>39</v>
      </c>
      <c r="H272" t="s">
        <v>150</v>
      </c>
      <c r="I272" t="s">
        <v>151</v>
      </c>
      <c r="J272" t="s">
        <v>88</v>
      </c>
      <c r="K272" t="s">
        <v>289</v>
      </c>
      <c r="L272" t="s">
        <v>933</v>
      </c>
      <c r="M272" t="s">
        <v>58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46</v>
      </c>
      <c r="U272" t="s">
        <v>47</v>
      </c>
      <c r="V272" t="str">
        <f t="shared" si="39"/>
        <v>Valid</v>
      </c>
      <c r="W272">
        <f t="shared" si="40"/>
        <v>1</v>
      </c>
      <c r="Y272" t="str">
        <f t="shared" si="41"/>
        <v>OK</v>
      </c>
      <c r="Z272" t="str">
        <f t="shared" si="42"/>
        <v>OK</v>
      </c>
      <c r="AA272" t="str">
        <f t="shared" si="43"/>
        <v>OK</v>
      </c>
      <c r="AB272" t="str">
        <f t="shared" si="44"/>
        <v>Valid</v>
      </c>
      <c r="AC272" t="str">
        <f>IF(OR(AB272="Invalid Discount",V272="Invalid Shipping"),
"Invalid",
IF(OR(Y272="Missing Region",
Z272="Missing Ship Mode",
AA272="Missing Discount",
X272="Flagged for Review"),
"Warning",
"Clean"))</f>
        <v>Clean</v>
      </c>
      <c r="AD272">
        <f t="shared" si="45"/>
        <v>0</v>
      </c>
      <c r="AE272">
        <f>N272*O272*(1-AD272)</f>
        <v>2482.3200000000002</v>
      </c>
      <c r="AF272">
        <f>AE272-R272</f>
        <v>962.11000000000013</v>
      </c>
      <c r="AG272" s="3">
        <f t="shared" si="46"/>
        <v>0.38758500112797706</v>
      </c>
      <c r="AH272" t="str">
        <f t="shared" si="47"/>
        <v>January</v>
      </c>
      <c r="AI272">
        <f t="shared" si="48"/>
        <v>2024</v>
      </c>
    </row>
    <row r="273" spans="1:35">
      <c r="A273" t="s">
        <v>934</v>
      </c>
      <c r="B273" s="2">
        <v>45647</v>
      </c>
      <c r="C273" s="2">
        <v>45651</v>
      </c>
      <c r="D273" t="s">
        <v>935</v>
      </c>
      <c r="E273" t="s">
        <v>103</v>
      </c>
      <c r="F273" t="s">
        <v>38</v>
      </c>
      <c r="G273" t="s">
        <v>68</v>
      </c>
      <c r="H273" t="s">
        <v>69</v>
      </c>
      <c r="I273" t="s">
        <v>70</v>
      </c>
      <c r="J273" t="s">
        <v>42</v>
      </c>
      <c r="K273" t="s">
        <v>167</v>
      </c>
      <c r="L273" t="s">
        <v>936</v>
      </c>
      <c r="M273" t="s">
        <v>73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169</v>
      </c>
      <c r="U273" t="s">
        <v>82</v>
      </c>
      <c r="V273" t="str">
        <f t="shared" si="39"/>
        <v>Valid</v>
      </c>
      <c r="W273">
        <f t="shared" si="40"/>
        <v>4</v>
      </c>
      <c r="Y273" t="str">
        <f t="shared" si="41"/>
        <v>OK</v>
      </c>
      <c r="Z273" t="str">
        <f t="shared" si="42"/>
        <v>OK</v>
      </c>
      <c r="AA273" t="str">
        <f t="shared" si="43"/>
        <v>OK</v>
      </c>
      <c r="AB273" t="str">
        <f t="shared" si="44"/>
        <v>Valid</v>
      </c>
      <c r="AC273" t="str">
        <f>IF(OR(AB273="Invalid Discount",V273="Invalid Shipping"),
"Invalid",
IF(OR(Y273="Missing Region",
Z273="Missing Ship Mode",
AA273="Missing Discount",
X273="Flagged for Review"),
"Warning",
"Clean"))</f>
        <v>Clean</v>
      </c>
      <c r="AD273">
        <f t="shared" si="45"/>
        <v>0</v>
      </c>
      <c r="AE273">
        <f>N273*O273*(1-AD273)</f>
        <v>11674.25</v>
      </c>
      <c r="AF273">
        <f>AE273-R273</f>
        <v>2053.0599999999995</v>
      </c>
      <c r="AG273" s="3">
        <f t="shared" si="46"/>
        <v>0.17586226095894808</v>
      </c>
      <c r="AH273" t="str">
        <f t="shared" si="47"/>
        <v>December</v>
      </c>
      <c r="AI273">
        <f t="shared" si="48"/>
        <v>2024</v>
      </c>
    </row>
    <row r="274" spans="1:35">
      <c r="A274" t="s">
        <v>937</v>
      </c>
      <c r="B274" s="2">
        <v>45522</v>
      </c>
      <c r="C274" s="2">
        <v>45528</v>
      </c>
      <c r="D274" t="s">
        <v>938</v>
      </c>
      <c r="E274" t="s">
        <v>67</v>
      </c>
      <c r="F274" t="s">
        <v>38</v>
      </c>
      <c r="G274" t="s">
        <v>68</v>
      </c>
      <c r="H274" t="s">
        <v>98</v>
      </c>
      <c r="I274" t="s">
        <v>99</v>
      </c>
      <c r="J274" t="s">
        <v>55</v>
      </c>
      <c r="K274" t="s">
        <v>80</v>
      </c>
      <c r="L274" t="s">
        <v>939</v>
      </c>
      <c r="M274" t="s">
        <v>64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46</v>
      </c>
      <c r="U274" t="s">
        <v>47</v>
      </c>
      <c r="V274" t="str">
        <f t="shared" si="39"/>
        <v>Valid</v>
      </c>
      <c r="W274">
        <f t="shared" si="40"/>
        <v>6</v>
      </c>
      <c r="X274" t="s">
        <v>398</v>
      </c>
      <c r="Y274" t="str">
        <f t="shared" si="41"/>
        <v>OK</v>
      </c>
      <c r="Z274" t="str">
        <f t="shared" si="42"/>
        <v>OK</v>
      </c>
      <c r="AA274" t="str">
        <f t="shared" si="43"/>
        <v>OK</v>
      </c>
      <c r="AB274" t="str">
        <f t="shared" si="44"/>
        <v>Valid</v>
      </c>
      <c r="AC274" t="str">
        <f>IF(OR(AB274="Invalid Discount",V274="Invalid Shipping"),
"Invalid",
IF(OR(Y274="Missing Region",
Z274="Missing Ship Mode",
AA274="Missing Discount",
X274="Flagged for Review"),
"Warning",
"Clean"))</f>
        <v>Warning</v>
      </c>
      <c r="AD274">
        <f t="shared" si="45"/>
        <v>0.1</v>
      </c>
      <c r="AE274">
        <f>N274*O274*(1-AD274)</f>
        <v>3510.4230000000002</v>
      </c>
      <c r="AF274">
        <f>AE274-R274</f>
        <v>1318.9230000000002</v>
      </c>
      <c r="AG274" s="3">
        <f t="shared" si="46"/>
        <v>0.37571625983535323</v>
      </c>
      <c r="AH274" t="str">
        <f t="shared" si="47"/>
        <v>August</v>
      </c>
      <c r="AI274">
        <f t="shared" si="48"/>
        <v>2024</v>
      </c>
    </row>
    <row r="275" spans="1:35">
      <c r="A275" t="s">
        <v>940</v>
      </c>
      <c r="B275" s="2">
        <v>45701</v>
      </c>
      <c r="C275" s="2">
        <v>45701</v>
      </c>
      <c r="D275" t="s">
        <v>941</v>
      </c>
      <c r="E275" t="s">
        <v>61</v>
      </c>
      <c r="F275" t="s">
        <v>38</v>
      </c>
      <c r="G275" t="s">
        <v>52</v>
      </c>
      <c r="H275" t="s">
        <v>159</v>
      </c>
      <c r="I275" t="s">
        <v>160</v>
      </c>
      <c r="J275" t="s">
        <v>42</v>
      </c>
      <c r="K275" t="s">
        <v>43</v>
      </c>
      <c r="L275" t="s">
        <v>942</v>
      </c>
      <c r="M275" t="s">
        <v>45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46</v>
      </c>
      <c r="U275" t="s">
        <v>117</v>
      </c>
      <c r="V275" t="str">
        <f t="shared" si="39"/>
        <v>Valid</v>
      </c>
      <c r="W275">
        <f t="shared" si="40"/>
        <v>0</v>
      </c>
      <c r="Y275" t="str">
        <f t="shared" si="41"/>
        <v>OK</v>
      </c>
      <c r="Z275" t="str">
        <f t="shared" si="42"/>
        <v>OK</v>
      </c>
      <c r="AA275" t="str">
        <f t="shared" si="43"/>
        <v>OK</v>
      </c>
      <c r="AB275" t="str">
        <f t="shared" si="44"/>
        <v>Valid</v>
      </c>
      <c r="AC275" t="str">
        <f>IF(OR(AB275="Invalid Discount",V275="Invalid Shipping"),
"Invalid",
IF(OR(Y275="Missing Region",
Z275="Missing Ship Mode",
AA275="Missing Discount",
X275="Flagged for Review"),
"Warning",
"Clean"))</f>
        <v>Clean</v>
      </c>
      <c r="AD275">
        <f t="shared" si="45"/>
        <v>0</v>
      </c>
      <c r="AE275">
        <f>N275*O275*(1-AD275)</f>
        <v>22694.670000000002</v>
      </c>
      <c r="AF275">
        <f>AE275-R275</f>
        <v>7289.3100000000013</v>
      </c>
      <c r="AG275" s="3">
        <f t="shared" si="46"/>
        <v>0.32119039404406413</v>
      </c>
      <c r="AH275" t="str">
        <f t="shared" si="47"/>
        <v>February</v>
      </c>
      <c r="AI275">
        <f t="shared" si="48"/>
        <v>2025</v>
      </c>
    </row>
    <row r="276" spans="1:35">
      <c r="A276" t="s">
        <v>943</v>
      </c>
      <c r="B276" s="2">
        <v>45389</v>
      </c>
      <c r="C276" s="2">
        <v>45396</v>
      </c>
      <c r="D276" t="s">
        <v>944</v>
      </c>
      <c r="E276" t="s">
        <v>155</v>
      </c>
      <c r="F276" t="s">
        <v>38</v>
      </c>
      <c r="G276" t="s">
        <v>68</v>
      </c>
      <c r="H276" t="s">
        <v>199</v>
      </c>
      <c r="I276" t="s">
        <v>200</v>
      </c>
      <c r="J276" t="s">
        <v>88</v>
      </c>
      <c r="K276" t="s">
        <v>94</v>
      </c>
      <c r="L276" t="s">
        <v>945</v>
      </c>
      <c r="M276" t="s">
        <v>73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169</v>
      </c>
      <c r="U276" t="s">
        <v>117</v>
      </c>
      <c r="V276" t="str">
        <f t="shared" si="39"/>
        <v>Valid</v>
      </c>
      <c r="W276">
        <f t="shared" si="40"/>
        <v>7</v>
      </c>
      <c r="Y276" t="str">
        <f t="shared" si="41"/>
        <v>OK</v>
      </c>
      <c r="Z276" t="str">
        <f t="shared" si="42"/>
        <v>OK</v>
      </c>
      <c r="AA276" t="str">
        <f t="shared" si="43"/>
        <v>OK</v>
      </c>
      <c r="AB276" t="str">
        <f t="shared" si="44"/>
        <v>Valid</v>
      </c>
      <c r="AC276" t="str">
        <f>IF(OR(AB276="Invalid Discount",V276="Invalid Shipping"),
"Invalid",
IF(OR(Y276="Missing Region",
Z276="Missing Ship Mode",
AA276="Missing Discount",
X276="Flagged for Review"),
"Warning",
"Clean"))</f>
        <v>Clean</v>
      </c>
      <c r="AD276">
        <f t="shared" si="45"/>
        <v>0.15</v>
      </c>
      <c r="AE276">
        <f>N276*O276*(1-AD276)</f>
        <v>21658.221000000001</v>
      </c>
      <c r="AF276">
        <f>AE276-R276</f>
        <v>6167.5310000000009</v>
      </c>
      <c r="AG276" s="3">
        <f t="shared" si="46"/>
        <v>0.28476627881856043</v>
      </c>
      <c r="AH276" t="str">
        <f t="shared" si="47"/>
        <v>April</v>
      </c>
      <c r="AI276">
        <f t="shared" si="48"/>
        <v>2024</v>
      </c>
    </row>
    <row r="277" spans="1:35">
      <c r="A277" t="s">
        <v>946</v>
      </c>
      <c r="B277" s="2">
        <v>45337</v>
      </c>
      <c r="C277" s="2">
        <v>45344</v>
      </c>
      <c r="D277" t="s">
        <v>947</v>
      </c>
      <c r="E277" t="s">
        <v>128</v>
      </c>
      <c r="F277" t="s">
        <v>51</v>
      </c>
      <c r="G277" t="s">
        <v>52</v>
      </c>
      <c r="H277" t="s">
        <v>113</v>
      </c>
      <c r="I277" t="s">
        <v>114</v>
      </c>
      <c r="J277" t="s">
        <v>55</v>
      </c>
      <c r="K277" t="s">
        <v>71</v>
      </c>
      <c r="L277" t="s">
        <v>948</v>
      </c>
      <c r="M277" t="s">
        <v>58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46</v>
      </c>
      <c r="U277" t="s">
        <v>47</v>
      </c>
      <c r="V277" t="str">
        <f t="shared" si="39"/>
        <v>Valid</v>
      </c>
      <c r="W277">
        <f t="shared" si="40"/>
        <v>7</v>
      </c>
      <c r="Y277" t="str">
        <f t="shared" si="41"/>
        <v>OK</v>
      </c>
      <c r="Z277" t="str">
        <f t="shared" si="42"/>
        <v>OK</v>
      </c>
      <c r="AA277" t="str">
        <f t="shared" si="43"/>
        <v>OK</v>
      </c>
      <c r="AB277" t="str">
        <f t="shared" si="44"/>
        <v>Valid</v>
      </c>
      <c r="AC277" t="str">
        <f>IF(OR(AB277="Invalid Discount",V277="Invalid Shipping"),
"Invalid",
IF(OR(Y277="Missing Region",
Z277="Missing Ship Mode",
AA277="Missing Discount",
X277="Flagged for Review"),
"Warning",
"Clean"))</f>
        <v>Clean</v>
      </c>
      <c r="AD277">
        <f t="shared" si="45"/>
        <v>0</v>
      </c>
      <c r="AE277">
        <f>N277*O277*(1-AD277)</f>
        <v>980.51</v>
      </c>
      <c r="AF277">
        <f>AE277-R277</f>
        <v>319.59000000000003</v>
      </c>
      <c r="AG277" s="3">
        <f t="shared" si="46"/>
        <v>0.32594262169687205</v>
      </c>
      <c r="AH277" t="str">
        <f t="shared" si="47"/>
        <v>February</v>
      </c>
      <c r="AI277">
        <f t="shared" si="48"/>
        <v>2024</v>
      </c>
    </row>
    <row r="278" spans="1:35">
      <c r="A278" t="s">
        <v>949</v>
      </c>
      <c r="B278" s="2">
        <v>45313</v>
      </c>
      <c r="C278" s="2">
        <v>45314</v>
      </c>
      <c r="D278" t="s">
        <v>950</v>
      </c>
      <c r="E278" t="s">
        <v>142</v>
      </c>
      <c r="F278" t="s">
        <v>51</v>
      </c>
      <c r="G278" t="s">
        <v>219</v>
      </c>
      <c r="H278" t="s">
        <v>180</v>
      </c>
      <c r="I278" t="s">
        <v>181</v>
      </c>
      <c r="J278" t="s">
        <v>55</v>
      </c>
      <c r="K278" t="s">
        <v>80</v>
      </c>
      <c r="L278" t="s">
        <v>951</v>
      </c>
      <c r="M278" t="s">
        <v>45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46</v>
      </c>
      <c r="U278" t="s">
        <v>47</v>
      </c>
      <c r="V278" t="str">
        <f t="shared" si="39"/>
        <v>Valid</v>
      </c>
      <c r="W278">
        <f t="shared" si="40"/>
        <v>1</v>
      </c>
      <c r="Y278" t="str">
        <f t="shared" si="41"/>
        <v>Missing Region</v>
      </c>
      <c r="Z278" t="str">
        <f t="shared" si="42"/>
        <v>OK</v>
      </c>
      <c r="AA278" t="str">
        <f t="shared" si="43"/>
        <v>OK</v>
      </c>
      <c r="AB278" t="str">
        <f t="shared" si="44"/>
        <v>Invalid Discount</v>
      </c>
      <c r="AC278" t="str">
        <f>IF(OR(AB278="Invalid Discount",V278="Invalid Shipping"),
"Invalid",
IF(OR(Y278="Missing Region",
Z278="Missing Ship Mode",
AA278="Missing Discount",
X278="Flagged for Review"),
"Warning",
"Clean"))</f>
        <v>Invalid</v>
      </c>
      <c r="AD278">
        <f t="shared" si="45"/>
        <v>-0.14000000000000001</v>
      </c>
      <c r="AE278">
        <f>N278*O278*(1-AD278)</f>
        <v>23198.065200000005</v>
      </c>
      <c r="AF278">
        <f>AE278-R278</f>
        <v>14784.535200000004</v>
      </c>
      <c r="AG278" s="3">
        <f t="shared" si="46"/>
        <v>0.63731759836591895</v>
      </c>
      <c r="AH278" t="str">
        <f t="shared" si="47"/>
        <v>January</v>
      </c>
      <c r="AI278">
        <f t="shared" si="48"/>
        <v>2024</v>
      </c>
    </row>
    <row r="279" spans="1:35">
      <c r="A279" t="s">
        <v>952</v>
      </c>
      <c r="B279" s="2">
        <v>45812</v>
      </c>
      <c r="C279" s="2">
        <v>45812</v>
      </c>
      <c r="D279" t="s">
        <v>804</v>
      </c>
      <c r="E279" t="s">
        <v>61</v>
      </c>
      <c r="F279" t="s">
        <v>104</v>
      </c>
      <c r="G279" t="s">
        <v>39</v>
      </c>
      <c r="H279" t="s">
        <v>251</v>
      </c>
      <c r="I279" t="s">
        <v>252</v>
      </c>
      <c r="J279" t="s">
        <v>88</v>
      </c>
      <c r="K279" t="s">
        <v>89</v>
      </c>
      <c r="L279" t="s">
        <v>953</v>
      </c>
      <c r="M279" t="s">
        <v>45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125</v>
      </c>
      <c r="U279" t="s">
        <v>82</v>
      </c>
      <c r="V279" t="str">
        <f t="shared" si="39"/>
        <v>Valid</v>
      </c>
      <c r="W279">
        <f t="shared" si="40"/>
        <v>0</v>
      </c>
      <c r="Y279" t="str">
        <f t="shared" si="41"/>
        <v>OK</v>
      </c>
      <c r="Z279" t="str">
        <f t="shared" si="42"/>
        <v>OK</v>
      </c>
      <c r="AA279" t="str">
        <f t="shared" si="43"/>
        <v>OK</v>
      </c>
      <c r="AB279" t="str">
        <f t="shared" si="44"/>
        <v>Valid</v>
      </c>
      <c r="AC279" t="str">
        <f>IF(OR(AB279="Invalid Discount",V279="Invalid Shipping"),
"Invalid",
IF(OR(Y279="Missing Region",
Z279="Missing Ship Mode",
AA279="Missing Discount",
X279="Flagged for Review"),
"Warning",
"Clean"))</f>
        <v>Clean</v>
      </c>
      <c r="AD279">
        <f t="shared" si="45"/>
        <v>0.15</v>
      </c>
      <c r="AE279">
        <f>N279*O279*(1-AD279)</f>
        <v>1813.6704999999999</v>
      </c>
      <c r="AF279">
        <f>AE279-R279</f>
        <v>811.1004999999999</v>
      </c>
      <c r="AG279" s="3">
        <f t="shared" si="46"/>
        <v>0.4472149158295291</v>
      </c>
      <c r="AH279" t="str">
        <f t="shared" si="47"/>
        <v>June</v>
      </c>
      <c r="AI279">
        <f t="shared" si="48"/>
        <v>2025</v>
      </c>
    </row>
    <row r="280" spans="1:35">
      <c r="A280" t="s">
        <v>954</v>
      </c>
      <c r="B280" s="2">
        <v>45723</v>
      </c>
      <c r="C280" s="2">
        <v>45730</v>
      </c>
      <c r="D280" t="s">
        <v>955</v>
      </c>
      <c r="E280" t="s">
        <v>128</v>
      </c>
      <c r="F280" t="s">
        <v>51</v>
      </c>
      <c r="G280" t="s">
        <v>39</v>
      </c>
      <c r="H280" t="s">
        <v>365</v>
      </c>
      <c r="I280" t="s">
        <v>366</v>
      </c>
      <c r="J280" t="s">
        <v>88</v>
      </c>
      <c r="K280" t="s">
        <v>89</v>
      </c>
      <c r="L280" t="s">
        <v>956</v>
      </c>
      <c r="M280" t="s">
        <v>58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46</v>
      </c>
      <c r="U280" t="s">
        <v>117</v>
      </c>
      <c r="V280" t="str">
        <f t="shared" si="39"/>
        <v>Valid</v>
      </c>
      <c r="W280">
        <f t="shared" si="40"/>
        <v>7</v>
      </c>
      <c r="Y280" t="str">
        <f t="shared" si="41"/>
        <v>OK</v>
      </c>
      <c r="Z280" t="str">
        <f t="shared" si="42"/>
        <v>OK</v>
      </c>
      <c r="AA280" t="str">
        <f t="shared" si="43"/>
        <v>OK</v>
      </c>
      <c r="AB280" t="str">
        <f t="shared" si="44"/>
        <v>Valid</v>
      </c>
      <c r="AC280" t="str">
        <f>IF(OR(AB280="Invalid Discount",V280="Invalid Shipping"),
"Invalid",
IF(OR(Y280="Missing Region",
Z280="Missing Ship Mode",
AA280="Missing Discount",
X280="Flagged for Review"),
"Warning",
"Clean"))</f>
        <v>Clean</v>
      </c>
      <c r="AD280">
        <f t="shared" si="45"/>
        <v>0.05</v>
      </c>
      <c r="AE280">
        <f>N280*O280*(1-AD280)</f>
        <v>3780.6579999999999</v>
      </c>
      <c r="AF280">
        <f>AE280-R280</f>
        <v>1632.348</v>
      </c>
      <c r="AG280" s="3">
        <f t="shared" si="46"/>
        <v>0.43176293650470365</v>
      </c>
      <c r="AH280" t="str">
        <f t="shared" si="47"/>
        <v>March</v>
      </c>
      <c r="AI280">
        <f t="shared" si="48"/>
        <v>2025</v>
      </c>
    </row>
    <row r="281" spans="1:35">
      <c r="A281" t="s">
        <v>957</v>
      </c>
      <c r="B281" s="2">
        <v>45391</v>
      </c>
      <c r="C281" s="2">
        <v>45392</v>
      </c>
      <c r="D281" t="s">
        <v>958</v>
      </c>
      <c r="E281" t="s">
        <v>155</v>
      </c>
      <c r="F281" t="s">
        <v>51</v>
      </c>
      <c r="G281" t="s">
        <v>77</v>
      </c>
      <c r="H281" t="s">
        <v>78</v>
      </c>
      <c r="I281" t="s">
        <v>79</v>
      </c>
      <c r="J281" t="s">
        <v>42</v>
      </c>
      <c r="K281" t="s">
        <v>138</v>
      </c>
      <c r="L281" t="s">
        <v>959</v>
      </c>
      <c r="M281" t="s">
        <v>64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46</v>
      </c>
      <c r="U281" t="s">
        <v>47</v>
      </c>
      <c r="V281" t="str">
        <f t="shared" si="39"/>
        <v>Valid</v>
      </c>
      <c r="W281">
        <f t="shared" si="40"/>
        <v>1</v>
      </c>
      <c r="Y281" t="str">
        <f t="shared" si="41"/>
        <v>OK</v>
      </c>
      <c r="Z281" t="str">
        <f t="shared" si="42"/>
        <v>OK</v>
      </c>
      <c r="AA281" t="str">
        <f t="shared" si="43"/>
        <v>OK</v>
      </c>
      <c r="AB281" t="str">
        <f t="shared" si="44"/>
        <v>Valid</v>
      </c>
      <c r="AC281" t="str">
        <f>IF(OR(AB281="Invalid Discount",V281="Invalid Shipping"),
"Invalid",
IF(OR(Y281="Missing Region",
Z281="Missing Ship Mode",
AA281="Missing Discount",
X281="Flagged for Review"),
"Warning",
"Clean"))</f>
        <v>Clean</v>
      </c>
      <c r="AD281">
        <f t="shared" si="45"/>
        <v>0.05</v>
      </c>
      <c r="AE281">
        <f>N281*O281*(1-AD281)</f>
        <v>4141.1639999999998</v>
      </c>
      <c r="AF281">
        <f>AE281-R281</f>
        <v>1386.9939999999997</v>
      </c>
      <c r="AG281" s="3">
        <f t="shared" si="46"/>
        <v>0.33492853700070796</v>
      </c>
      <c r="AH281" t="str">
        <f t="shared" si="47"/>
        <v>April</v>
      </c>
      <c r="AI281">
        <f t="shared" si="48"/>
        <v>2024</v>
      </c>
    </row>
    <row r="282" spans="1:35">
      <c r="A282" t="s">
        <v>960</v>
      </c>
      <c r="B282" s="2">
        <v>45649</v>
      </c>
      <c r="C282" s="2">
        <v>45652</v>
      </c>
      <c r="D282" t="s">
        <v>961</v>
      </c>
      <c r="E282" t="s">
        <v>103</v>
      </c>
      <c r="F282" t="s">
        <v>38</v>
      </c>
      <c r="G282" t="s">
        <v>68</v>
      </c>
      <c r="H282" t="s">
        <v>189</v>
      </c>
      <c r="I282" t="s">
        <v>190</v>
      </c>
      <c r="J282" t="s">
        <v>88</v>
      </c>
      <c r="K282" t="s">
        <v>94</v>
      </c>
      <c r="L282" t="s">
        <v>962</v>
      </c>
      <c r="M282" t="s">
        <v>73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46</v>
      </c>
      <c r="U282" t="s">
        <v>47</v>
      </c>
      <c r="V282" t="str">
        <f t="shared" si="39"/>
        <v>Valid</v>
      </c>
      <c r="W282">
        <f t="shared" si="40"/>
        <v>3</v>
      </c>
      <c r="Y282" t="str">
        <f t="shared" si="41"/>
        <v>OK</v>
      </c>
      <c r="Z282" t="str">
        <f t="shared" si="42"/>
        <v>OK</v>
      </c>
      <c r="AA282" t="str">
        <f t="shared" si="43"/>
        <v>OK</v>
      </c>
      <c r="AB282" t="str">
        <f t="shared" si="44"/>
        <v>Valid</v>
      </c>
      <c r="AC282" t="str">
        <f>IF(OR(AB282="Invalid Discount",V282="Invalid Shipping"),
"Invalid",
IF(OR(Y282="Missing Region",
Z282="Missing Ship Mode",
AA282="Missing Discount",
X282="Flagged for Review"),
"Warning",
"Clean"))</f>
        <v>Clean</v>
      </c>
      <c r="AD282">
        <f t="shared" si="45"/>
        <v>0</v>
      </c>
      <c r="AE282">
        <f>N282*O282*(1-AD282)</f>
        <v>8943.0299999999988</v>
      </c>
      <c r="AF282">
        <f>AE282-R282</f>
        <v>3777.6499999999987</v>
      </c>
      <c r="AG282" s="3">
        <f t="shared" si="46"/>
        <v>0.42241276167026154</v>
      </c>
      <c r="AH282" t="str">
        <f t="shared" si="47"/>
        <v>December</v>
      </c>
      <c r="AI282">
        <f t="shared" si="48"/>
        <v>2024</v>
      </c>
    </row>
    <row r="283" spans="1:35">
      <c r="A283" t="s">
        <v>963</v>
      </c>
      <c r="B283" s="2">
        <v>45863</v>
      </c>
      <c r="C283" s="2">
        <v>45865</v>
      </c>
      <c r="D283" t="s">
        <v>964</v>
      </c>
      <c r="E283" t="s">
        <v>279</v>
      </c>
      <c r="F283" t="s">
        <v>38</v>
      </c>
      <c r="G283" t="s">
        <v>52</v>
      </c>
      <c r="H283" t="s">
        <v>243</v>
      </c>
      <c r="I283" t="s">
        <v>244</v>
      </c>
      <c r="J283" t="s">
        <v>42</v>
      </c>
      <c r="K283" t="s">
        <v>167</v>
      </c>
      <c r="L283" t="s">
        <v>965</v>
      </c>
      <c r="M283" t="s">
        <v>45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46</v>
      </c>
      <c r="U283" t="s">
        <v>47</v>
      </c>
      <c r="V283" t="str">
        <f t="shared" si="39"/>
        <v>Valid</v>
      </c>
      <c r="W283">
        <f t="shared" si="40"/>
        <v>2</v>
      </c>
      <c r="Y283" t="str">
        <f t="shared" si="41"/>
        <v>OK</v>
      </c>
      <c r="Z283" t="str">
        <f t="shared" si="42"/>
        <v>OK</v>
      </c>
      <c r="AA283" t="str">
        <f t="shared" si="43"/>
        <v>OK</v>
      </c>
      <c r="AB283" t="str">
        <f t="shared" si="44"/>
        <v>Valid</v>
      </c>
      <c r="AC283" t="str">
        <f>IF(OR(AB283="Invalid Discount",V283="Invalid Shipping"),
"Invalid",
IF(OR(Y283="Missing Region",
Z283="Missing Ship Mode",
AA283="Missing Discount",
X283="Flagged for Review"),
"Warning",
"Clean"))</f>
        <v>Clean</v>
      </c>
      <c r="AD283">
        <f t="shared" si="45"/>
        <v>0.2</v>
      </c>
      <c r="AE283">
        <f>N283*O283*(1-AD283)</f>
        <v>16504.223999999998</v>
      </c>
      <c r="AF283">
        <f>AE283-R283</f>
        <v>5241.5139999999992</v>
      </c>
      <c r="AG283" s="3">
        <f t="shared" si="46"/>
        <v>0.31758621308096641</v>
      </c>
      <c r="AH283" t="str">
        <f t="shared" si="47"/>
        <v>July</v>
      </c>
      <c r="AI283">
        <f t="shared" si="48"/>
        <v>2025</v>
      </c>
    </row>
    <row r="284" spans="1:35">
      <c r="A284" t="s">
        <v>966</v>
      </c>
      <c r="B284" s="2">
        <v>45566</v>
      </c>
      <c r="C284" s="2">
        <v>45567</v>
      </c>
      <c r="D284" t="s">
        <v>967</v>
      </c>
      <c r="E284" t="s">
        <v>37</v>
      </c>
      <c r="F284" t="s">
        <v>109</v>
      </c>
      <c r="G284" t="s">
        <v>52</v>
      </c>
      <c r="H284" t="s">
        <v>180</v>
      </c>
      <c r="I284" t="s">
        <v>181</v>
      </c>
      <c r="J284" t="s">
        <v>55</v>
      </c>
      <c r="K284" t="s">
        <v>56</v>
      </c>
      <c r="L284" t="s">
        <v>968</v>
      </c>
      <c r="M284" t="s">
        <v>45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46</v>
      </c>
      <c r="U284" t="s">
        <v>47</v>
      </c>
      <c r="V284" t="str">
        <f t="shared" si="39"/>
        <v>Valid</v>
      </c>
      <c r="W284">
        <f t="shared" si="40"/>
        <v>1</v>
      </c>
      <c r="Y284" t="str">
        <f t="shared" si="41"/>
        <v>OK</v>
      </c>
      <c r="Z284" t="str">
        <f t="shared" si="42"/>
        <v>OK</v>
      </c>
      <c r="AA284" t="str">
        <f t="shared" si="43"/>
        <v>OK</v>
      </c>
      <c r="AB284" t="str">
        <f t="shared" si="44"/>
        <v>Valid</v>
      </c>
      <c r="AC284" t="str">
        <f>IF(OR(AB284="Invalid Discount",V284="Invalid Shipping"),
"Invalid",
IF(OR(Y284="Missing Region",
Z284="Missing Ship Mode",
AA284="Missing Discount",
X284="Flagged for Review"),
"Warning",
"Clean"))</f>
        <v>Clean</v>
      </c>
      <c r="AD284">
        <f t="shared" si="45"/>
        <v>0</v>
      </c>
      <c r="AE284">
        <f>N284*O284*(1-AD284)</f>
        <v>4596</v>
      </c>
      <c r="AF284">
        <f>AE284-R284</f>
        <v>1375.67</v>
      </c>
      <c r="AG284" s="3">
        <f t="shared" si="46"/>
        <v>0.29931897302001742</v>
      </c>
      <c r="AH284" t="str">
        <f t="shared" si="47"/>
        <v>October</v>
      </c>
      <c r="AI284">
        <f t="shared" si="48"/>
        <v>2024</v>
      </c>
    </row>
    <row r="285" spans="1:35">
      <c r="A285" t="s">
        <v>969</v>
      </c>
      <c r="B285" s="2">
        <v>45729</v>
      </c>
      <c r="C285" s="2">
        <v>45736</v>
      </c>
      <c r="D285" t="s">
        <v>970</v>
      </c>
      <c r="E285" t="s">
        <v>85</v>
      </c>
      <c r="F285" t="s">
        <v>38</v>
      </c>
      <c r="G285" t="s">
        <v>77</v>
      </c>
      <c r="H285" t="s">
        <v>78</v>
      </c>
      <c r="I285" t="s">
        <v>79</v>
      </c>
      <c r="J285" t="s">
        <v>55</v>
      </c>
      <c r="K285" t="s">
        <v>71</v>
      </c>
      <c r="L285" t="s">
        <v>971</v>
      </c>
      <c r="M285" t="s">
        <v>64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46</v>
      </c>
      <c r="U285" t="s">
        <v>47</v>
      </c>
      <c r="V285" t="str">
        <f t="shared" si="39"/>
        <v>Valid</v>
      </c>
      <c r="W285">
        <f t="shared" si="40"/>
        <v>7</v>
      </c>
      <c r="Y285" t="str">
        <f t="shared" si="41"/>
        <v>OK</v>
      </c>
      <c r="Z285" t="str">
        <f t="shared" si="42"/>
        <v>OK</v>
      </c>
      <c r="AA285" t="str">
        <f t="shared" si="43"/>
        <v>OK</v>
      </c>
      <c r="AB285" t="str">
        <f t="shared" si="44"/>
        <v>Valid</v>
      </c>
      <c r="AC285" t="str">
        <f>IF(OR(AB285="Invalid Discount",V285="Invalid Shipping"),
"Invalid",
IF(OR(Y285="Missing Region",
Z285="Missing Ship Mode",
AA285="Missing Discount",
X285="Flagged for Review"),
"Warning",
"Clean"))</f>
        <v>Clean</v>
      </c>
      <c r="AD285">
        <f t="shared" si="45"/>
        <v>0</v>
      </c>
      <c r="AE285">
        <f>N285*O285*(1-AD285)</f>
        <v>1814.01</v>
      </c>
      <c r="AF285">
        <f>AE285-R285</f>
        <v>780.54</v>
      </c>
      <c r="AG285" s="3">
        <f t="shared" si="46"/>
        <v>0.43028428729720342</v>
      </c>
      <c r="AH285" t="str">
        <f t="shared" si="47"/>
        <v>March</v>
      </c>
      <c r="AI285">
        <f t="shared" si="48"/>
        <v>2025</v>
      </c>
    </row>
    <row r="286" spans="1:35">
      <c r="A286" t="s">
        <v>972</v>
      </c>
      <c r="B286" s="2">
        <v>45634</v>
      </c>
      <c r="C286" s="2">
        <v>45640</v>
      </c>
      <c r="D286" t="s">
        <v>973</v>
      </c>
      <c r="E286" t="s">
        <v>37</v>
      </c>
      <c r="F286" t="s">
        <v>38</v>
      </c>
      <c r="G286" t="s">
        <v>52</v>
      </c>
      <c r="H286" t="s">
        <v>53</v>
      </c>
      <c r="I286" t="s">
        <v>54</v>
      </c>
      <c r="J286" t="s">
        <v>55</v>
      </c>
      <c r="K286" t="s">
        <v>56</v>
      </c>
      <c r="L286" t="s">
        <v>974</v>
      </c>
      <c r="M286" t="s">
        <v>58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46</v>
      </c>
      <c r="U286" t="s">
        <v>117</v>
      </c>
      <c r="V286" t="str">
        <f t="shared" si="39"/>
        <v>Valid</v>
      </c>
      <c r="W286">
        <f t="shared" si="40"/>
        <v>6</v>
      </c>
      <c r="Y286" t="str">
        <f t="shared" si="41"/>
        <v>OK</v>
      </c>
      <c r="Z286" t="str">
        <f t="shared" si="42"/>
        <v>OK</v>
      </c>
      <c r="AA286" t="str">
        <f t="shared" si="43"/>
        <v>OK</v>
      </c>
      <c r="AB286" t="str">
        <f t="shared" si="44"/>
        <v>Valid</v>
      </c>
      <c r="AC286" t="str">
        <f>IF(OR(AB286="Invalid Discount",V286="Invalid Shipping"),
"Invalid",
IF(OR(Y286="Missing Region",
Z286="Missing Ship Mode",
AA286="Missing Discount",
X286="Flagged for Review"),
"Warning",
"Clean"))</f>
        <v>Clean</v>
      </c>
      <c r="AD286">
        <f t="shared" si="45"/>
        <v>0</v>
      </c>
      <c r="AE286">
        <f>N286*O286*(1-AD286)</f>
        <v>4730.76</v>
      </c>
      <c r="AF286">
        <f>AE286-R286</f>
        <v>1591.0300000000002</v>
      </c>
      <c r="AG286" s="3">
        <f t="shared" si="46"/>
        <v>0.33631594077907145</v>
      </c>
      <c r="AH286" t="str">
        <f t="shared" si="47"/>
        <v>December</v>
      </c>
      <c r="AI286">
        <f t="shared" si="48"/>
        <v>2024</v>
      </c>
    </row>
    <row r="287" spans="1:35">
      <c r="A287" t="s">
        <v>975</v>
      </c>
      <c r="B287" s="2">
        <v>45884</v>
      </c>
      <c r="C287" s="2">
        <v>45889</v>
      </c>
      <c r="D287" t="s">
        <v>976</v>
      </c>
      <c r="E287" t="s">
        <v>93</v>
      </c>
      <c r="F287" t="s">
        <v>109</v>
      </c>
      <c r="G287" t="s">
        <v>39</v>
      </c>
      <c r="H287" t="s">
        <v>40</v>
      </c>
      <c r="I287" t="s">
        <v>41</v>
      </c>
      <c r="J287" t="s">
        <v>42</v>
      </c>
      <c r="K287" t="s">
        <v>138</v>
      </c>
      <c r="L287" t="s">
        <v>977</v>
      </c>
      <c r="M287" t="s">
        <v>73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46</v>
      </c>
      <c r="U287" t="s">
        <v>47</v>
      </c>
      <c r="V287" t="str">
        <f t="shared" si="39"/>
        <v>Valid</v>
      </c>
      <c r="W287">
        <f t="shared" si="40"/>
        <v>5</v>
      </c>
      <c r="Y287" t="str">
        <f t="shared" si="41"/>
        <v>OK</v>
      </c>
      <c r="Z287" t="str">
        <f t="shared" si="42"/>
        <v>OK</v>
      </c>
      <c r="AA287" t="str">
        <f t="shared" si="43"/>
        <v>OK</v>
      </c>
      <c r="AB287" t="str">
        <f t="shared" si="44"/>
        <v>Valid</v>
      </c>
      <c r="AC287" t="str">
        <f>IF(OR(AB287="Invalid Discount",V287="Invalid Shipping"),
"Invalid",
IF(OR(Y287="Missing Region",
Z287="Missing Ship Mode",
AA287="Missing Discount",
X287="Flagged for Review"),
"Warning",
"Clean"))</f>
        <v>Clean</v>
      </c>
      <c r="AD287">
        <f t="shared" si="45"/>
        <v>0</v>
      </c>
      <c r="AE287">
        <f>N287*O287*(1-AD287)</f>
        <v>36735.93</v>
      </c>
      <c r="AF287">
        <f>AE287-R287</f>
        <v>5915.09</v>
      </c>
      <c r="AG287" s="3">
        <f t="shared" si="46"/>
        <v>0.16101647624001897</v>
      </c>
      <c r="AH287" t="str">
        <f t="shared" si="47"/>
        <v>August</v>
      </c>
      <c r="AI287">
        <f t="shared" si="48"/>
        <v>2025</v>
      </c>
    </row>
    <row r="288" spans="1:35">
      <c r="A288" t="s">
        <v>978</v>
      </c>
      <c r="B288" s="2">
        <v>45350</v>
      </c>
      <c r="C288" s="2">
        <v>45353</v>
      </c>
      <c r="D288" t="s">
        <v>979</v>
      </c>
      <c r="E288" t="s">
        <v>128</v>
      </c>
      <c r="F288" t="s">
        <v>51</v>
      </c>
      <c r="G288" t="s">
        <v>39</v>
      </c>
      <c r="H288" t="s">
        <v>365</v>
      </c>
      <c r="I288" t="s">
        <v>366</v>
      </c>
      <c r="J288" t="s">
        <v>55</v>
      </c>
      <c r="K288" t="s">
        <v>71</v>
      </c>
      <c r="L288" t="s">
        <v>980</v>
      </c>
      <c r="M288" t="s">
        <v>64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125</v>
      </c>
      <c r="U288" t="s">
        <v>117</v>
      </c>
      <c r="V288" t="str">
        <f t="shared" si="39"/>
        <v>Valid</v>
      </c>
      <c r="W288">
        <f t="shared" si="40"/>
        <v>3</v>
      </c>
      <c r="Y288" t="str">
        <f t="shared" si="41"/>
        <v>OK</v>
      </c>
      <c r="Z288" t="str">
        <f t="shared" si="42"/>
        <v>OK</v>
      </c>
      <c r="AA288" t="str">
        <f t="shared" si="43"/>
        <v>OK</v>
      </c>
      <c r="AB288" t="str">
        <f t="shared" si="44"/>
        <v>Valid</v>
      </c>
      <c r="AC288" t="str">
        <f>IF(OR(AB288="Invalid Discount",V288="Invalid Shipping"),
"Invalid",
IF(OR(Y288="Missing Region",
Z288="Missing Ship Mode",
AA288="Missing Discount",
X288="Flagged for Review"),
"Warning",
"Clean"))</f>
        <v>Clean</v>
      </c>
      <c r="AD288">
        <f t="shared" si="45"/>
        <v>0.1</v>
      </c>
      <c r="AE288">
        <f>N288*O288*(1-AD288)</f>
        <v>4421.3399999999992</v>
      </c>
      <c r="AF288">
        <f>AE288-R288</f>
        <v>1931.3599999999992</v>
      </c>
      <c r="AG288" s="3">
        <f t="shared" si="46"/>
        <v>0.43682684435035524</v>
      </c>
      <c r="AH288" t="str">
        <f t="shared" si="47"/>
        <v>February</v>
      </c>
      <c r="AI288">
        <f t="shared" si="48"/>
        <v>2024</v>
      </c>
    </row>
    <row r="289" spans="1:35">
      <c r="A289" t="s">
        <v>981</v>
      </c>
      <c r="B289" s="2">
        <v>45540</v>
      </c>
      <c r="C289" s="2">
        <v>45542</v>
      </c>
      <c r="D289" t="s">
        <v>982</v>
      </c>
      <c r="E289" t="s">
        <v>93</v>
      </c>
      <c r="F289" t="s">
        <v>51</v>
      </c>
      <c r="G289" t="s">
        <v>68</v>
      </c>
      <c r="H289" t="s">
        <v>262</v>
      </c>
      <c r="I289" t="s">
        <v>263</v>
      </c>
      <c r="J289" t="s">
        <v>88</v>
      </c>
      <c r="K289" t="s">
        <v>94</v>
      </c>
      <c r="L289" t="s">
        <v>983</v>
      </c>
      <c r="M289" t="s">
        <v>73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46</v>
      </c>
      <c r="U289" t="s">
        <v>82</v>
      </c>
      <c r="V289" t="str">
        <f t="shared" si="39"/>
        <v>Valid</v>
      </c>
      <c r="W289">
        <f t="shared" si="40"/>
        <v>2</v>
      </c>
      <c r="Y289" t="str">
        <f t="shared" si="41"/>
        <v>OK</v>
      </c>
      <c r="Z289" t="str">
        <f t="shared" si="42"/>
        <v>OK</v>
      </c>
      <c r="AA289" t="str">
        <f t="shared" si="43"/>
        <v>OK</v>
      </c>
      <c r="AB289" t="str">
        <f t="shared" si="44"/>
        <v>Valid</v>
      </c>
      <c r="AC289" t="str">
        <f>IF(OR(AB289="Invalid Discount",V289="Invalid Shipping"),
"Invalid",
IF(OR(Y289="Missing Region",
Z289="Missing Ship Mode",
AA289="Missing Discount",
X289="Flagged for Review"),
"Warning",
"Clean"))</f>
        <v>Clean</v>
      </c>
      <c r="AD289">
        <f t="shared" si="45"/>
        <v>0.15</v>
      </c>
      <c r="AE289">
        <f>N289*O289*(1-AD289)</f>
        <v>6516.9329999999991</v>
      </c>
      <c r="AF289">
        <f>AE289-R289</f>
        <v>2005.3929999999991</v>
      </c>
      <c r="AG289" s="3">
        <f t="shared" si="46"/>
        <v>0.30772036477895343</v>
      </c>
      <c r="AH289" t="str">
        <f t="shared" si="47"/>
        <v>September</v>
      </c>
      <c r="AI289">
        <f t="shared" si="48"/>
        <v>2024</v>
      </c>
    </row>
    <row r="290" spans="1:35">
      <c r="A290" t="s">
        <v>984</v>
      </c>
      <c r="B290" s="2">
        <v>45467</v>
      </c>
      <c r="C290" s="2">
        <v>45467</v>
      </c>
      <c r="D290" t="s">
        <v>985</v>
      </c>
      <c r="E290" t="s">
        <v>155</v>
      </c>
      <c r="F290" t="s">
        <v>51</v>
      </c>
      <c r="G290" t="s">
        <v>52</v>
      </c>
      <c r="H290" t="s">
        <v>159</v>
      </c>
      <c r="I290" t="s">
        <v>160</v>
      </c>
      <c r="J290" t="s">
        <v>42</v>
      </c>
      <c r="K290" t="s">
        <v>167</v>
      </c>
      <c r="L290" t="s">
        <v>986</v>
      </c>
      <c r="M290" t="s">
        <v>58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46</v>
      </c>
      <c r="U290" t="s">
        <v>47</v>
      </c>
      <c r="V290" t="str">
        <f t="shared" si="39"/>
        <v>Valid</v>
      </c>
      <c r="W290">
        <f t="shared" si="40"/>
        <v>0</v>
      </c>
      <c r="Y290" t="str">
        <f t="shared" si="41"/>
        <v>OK</v>
      </c>
      <c r="Z290" t="str">
        <f t="shared" si="42"/>
        <v>OK</v>
      </c>
      <c r="AA290" t="str">
        <f t="shared" si="43"/>
        <v>OK</v>
      </c>
      <c r="AB290" t="str">
        <f t="shared" si="44"/>
        <v>Valid</v>
      </c>
      <c r="AC290" t="str">
        <f>IF(OR(AB290="Invalid Discount",V290="Invalid Shipping"),
"Invalid",
IF(OR(Y290="Missing Region",
Z290="Missing Ship Mode",
AA290="Missing Discount",
X290="Flagged for Review"),
"Warning",
"Clean"))</f>
        <v>Clean</v>
      </c>
      <c r="AD290">
        <f t="shared" si="45"/>
        <v>0.15</v>
      </c>
      <c r="AE290">
        <f>N290*O290*(1-AD290)</f>
        <v>7411.829999999999</v>
      </c>
      <c r="AF290">
        <f>AE290-R290</f>
        <v>2507.1999999999989</v>
      </c>
      <c r="AG290" s="3">
        <f t="shared" si="46"/>
        <v>0.3382700358750807</v>
      </c>
      <c r="AH290" t="str">
        <f t="shared" si="47"/>
        <v>June</v>
      </c>
      <c r="AI290">
        <f t="shared" si="48"/>
        <v>2024</v>
      </c>
    </row>
    <row r="291" spans="1:35">
      <c r="A291" t="s">
        <v>987</v>
      </c>
      <c r="B291" s="2">
        <v>45827</v>
      </c>
      <c r="C291" s="2">
        <v>45835</v>
      </c>
      <c r="D291" t="s">
        <v>988</v>
      </c>
      <c r="E291" t="s">
        <v>37</v>
      </c>
      <c r="F291" t="s">
        <v>109</v>
      </c>
      <c r="G291" t="s">
        <v>68</v>
      </c>
      <c r="H291" t="s">
        <v>262</v>
      </c>
      <c r="I291" t="s">
        <v>263</v>
      </c>
      <c r="J291" t="s">
        <v>55</v>
      </c>
      <c r="K291" t="s">
        <v>172</v>
      </c>
      <c r="L291" t="s">
        <v>989</v>
      </c>
      <c r="M291" t="s">
        <v>64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46</v>
      </c>
      <c r="U291" t="s">
        <v>47</v>
      </c>
      <c r="V291" t="str">
        <f t="shared" si="39"/>
        <v>Valid</v>
      </c>
      <c r="W291">
        <f t="shared" si="40"/>
        <v>8</v>
      </c>
      <c r="Y291" t="str">
        <f t="shared" si="41"/>
        <v>OK</v>
      </c>
      <c r="Z291" t="str">
        <f t="shared" si="42"/>
        <v>OK</v>
      </c>
      <c r="AA291" t="str">
        <f t="shared" si="43"/>
        <v>OK</v>
      </c>
      <c r="AB291" t="str">
        <f t="shared" si="44"/>
        <v>Valid</v>
      </c>
      <c r="AC291" t="str">
        <f>IF(OR(AB291="Invalid Discount",V291="Invalid Shipping"),
"Invalid",
IF(OR(Y291="Missing Region",
Z291="Missing Ship Mode",
AA291="Missing Discount",
X291="Flagged for Review"),
"Warning",
"Clean"))</f>
        <v>Clean</v>
      </c>
      <c r="AD291">
        <f t="shared" si="45"/>
        <v>0.05</v>
      </c>
      <c r="AE291">
        <f>N291*O291*(1-AD291)</f>
        <v>8258.7109999999993</v>
      </c>
      <c r="AF291">
        <f>AE291-R291</f>
        <v>1239.7409999999991</v>
      </c>
      <c r="AG291" s="3">
        <f t="shared" si="46"/>
        <v>0.15011313508851432</v>
      </c>
      <c r="AH291" t="str">
        <f t="shared" si="47"/>
        <v>June</v>
      </c>
      <c r="AI291">
        <f t="shared" si="48"/>
        <v>2025</v>
      </c>
    </row>
    <row r="292" spans="1:35">
      <c r="A292" t="s">
        <v>990</v>
      </c>
      <c r="B292" s="2">
        <v>45891</v>
      </c>
      <c r="C292" s="2">
        <v>45895</v>
      </c>
      <c r="D292" t="s">
        <v>991</v>
      </c>
      <c r="E292" t="s">
        <v>176</v>
      </c>
      <c r="F292" t="s">
        <v>109</v>
      </c>
      <c r="G292" t="s">
        <v>52</v>
      </c>
      <c r="H292" t="s">
        <v>243</v>
      </c>
      <c r="I292" t="s">
        <v>244</v>
      </c>
      <c r="J292" t="s">
        <v>55</v>
      </c>
      <c r="K292" t="s">
        <v>56</v>
      </c>
      <c r="L292" t="s">
        <v>992</v>
      </c>
      <c r="M292" t="s">
        <v>73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46</v>
      </c>
      <c r="U292" t="s">
        <v>47</v>
      </c>
      <c r="V292" t="str">
        <f t="shared" si="39"/>
        <v>Valid</v>
      </c>
      <c r="W292">
        <f t="shared" si="40"/>
        <v>4</v>
      </c>
      <c r="Y292" t="str">
        <f t="shared" si="41"/>
        <v>OK</v>
      </c>
      <c r="Z292" t="str">
        <f t="shared" si="42"/>
        <v>OK</v>
      </c>
      <c r="AA292" t="str">
        <f t="shared" si="43"/>
        <v>OK</v>
      </c>
      <c r="AB292" t="str">
        <f t="shared" si="44"/>
        <v>Valid</v>
      </c>
      <c r="AC292" t="str">
        <f>IF(OR(AB292="Invalid Discount",V292="Invalid Shipping"),
"Invalid",
IF(OR(Y292="Missing Region",
Z292="Missing Ship Mode",
AA292="Missing Discount",
X292="Flagged for Review"),
"Warning",
"Clean"))</f>
        <v>Clean</v>
      </c>
      <c r="AD292">
        <f t="shared" si="45"/>
        <v>0.1</v>
      </c>
      <c r="AE292">
        <f>N292*O292*(1-AD292)</f>
        <v>1658.3670000000002</v>
      </c>
      <c r="AF292">
        <f>AE292-R292</f>
        <v>687.24700000000018</v>
      </c>
      <c r="AG292" s="3">
        <f t="shared" si="46"/>
        <v>0.41441188832146331</v>
      </c>
      <c r="AH292" t="str">
        <f t="shared" si="47"/>
        <v>August</v>
      </c>
      <c r="AI292">
        <f t="shared" si="48"/>
        <v>2025</v>
      </c>
    </row>
    <row r="293" spans="1:35">
      <c r="A293" t="s">
        <v>993</v>
      </c>
      <c r="B293" s="2">
        <v>45387</v>
      </c>
      <c r="C293" s="2">
        <v>45392</v>
      </c>
      <c r="D293" t="s">
        <v>994</v>
      </c>
      <c r="E293" t="s">
        <v>128</v>
      </c>
      <c r="F293" t="s">
        <v>109</v>
      </c>
      <c r="G293" t="s">
        <v>39</v>
      </c>
      <c r="H293" t="s">
        <v>40</v>
      </c>
      <c r="I293" t="s">
        <v>41</v>
      </c>
      <c r="J293" t="s">
        <v>42</v>
      </c>
      <c r="K293" t="s">
        <v>167</v>
      </c>
      <c r="L293" t="s">
        <v>995</v>
      </c>
      <c r="M293" t="s">
        <v>73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46</v>
      </c>
      <c r="U293" t="s">
        <v>47</v>
      </c>
      <c r="V293" t="str">
        <f t="shared" si="39"/>
        <v>Valid</v>
      </c>
      <c r="W293">
        <f t="shared" si="40"/>
        <v>5</v>
      </c>
      <c r="Y293" t="str">
        <f t="shared" si="41"/>
        <v>OK</v>
      </c>
      <c r="Z293" t="str">
        <f t="shared" si="42"/>
        <v>OK</v>
      </c>
      <c r="AA293" t="str">
        <f t="shared" si="43"/>
        <v>OK</v>
      </c>
      <c r="AB293" t="str">
        <f t="shared" si="44"/>
        <v>Valid</v>
      </c>
      <c r="AC293" t="str">
        <f>IF(OR(AB293="Invalid Discount",V293="Invalid Shipping"),
"Invalid",
IF(OR(Y293="Missing Region",
Z293="Missing Ship Mode",
AA293="Missing Discount",
X293="Flagged for Review"),
"Warning",
"Clean"))</f>
        <v>Clean</v>
      </c>
      <c r="AD293">
        <f t="shared" si="45"/>
        <v>0.25</v>
      </c>
      <c r="AE293">
        <f>N293*O293*(1-AD293)</f>
        <v>9685.98</v>
      </c>
      <c r="AF293">
        <f>AE293-R293</f>
        <v>1955.9399999999996</v>
      </c>
      <c r="AG293" s="3">
        <f t="shared" si="46"/>
        <v>0.20193516815025425</v>
      </c>
      <c r="AH293" t="str">
        <f t="shared" si="47"/>
        <v>April</v>
      </c>
      <c r="AI293">
        <f t="shared" si="48"/>
        <v>2024</v>
      </c>
    </row>
    <row r="294" spans="1:35">
      <c r="A294" t="s">
        <v>996</v>
      </c>
      <c r="B294" s="2">
        <v>45716</v>
      </c>
      <c r="C294" s="2">
        <v>45719</v>
      </c>
      <c r="D294" t="s">
        <v>997</v>
      </c>
      <c r="E294" t="s">
        <v>279</v>
      </c>
      <c r="F294" t="s">
        <v>109</v>
      </c>
      <c r="G294" t="s">
        <v>39</v>
      </c>
      <c r="H294" t="s">
        <v>251</v>
      </c>
      <c r="I294" t="s">
        <v>252</v>
      </c>
      <c r="J294" t="s">
        <v>42</v>
      </c>
      <c r="K294" t="s">
        <v>62</v>
      </c>
      <c r="L294" t="s">
        <v>998</v>
      </c>
      <c r="M294" t="s">
        <v>58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125</v>
      </c>
      <c r="U294" t="s">
        <v>82</v>
      </c>
      <c r="V294" t="str">
        <f t="shared" si="39"/>
        <v>Valid</v>
      </c>
      <c r="W294">
        <f t="shared" si="40"/>
        <v>3</v>
      </c>
      <c r="Y294" t="str">
        <f t="shared" si="41"/>
        <v>OK</v>
      </c>
      <c r="Z294" t="str">
        <f t="shared" si="42"/>
        <v>OK</v>
      </c>
      <c r="AA294" t="str">
        <f t="shared" si="43"/>
        <v>OK</v>
      </c>
      <c r="AB294" t="str">
        <f t="shared" si="44"/>
        <v>Valid</v>
      </c>
      <c r="AC294" t="str">
        <f>IF(OR(AB294="Invalid Discount",V294="Invalid Shipping"),
"Invalid",
IF(OR(Y294="Missing Region",
Z294="Missing Ship Mode",
AA294="Missing Discount",
X294="Flagged for Review"),
"Warning",
"Clean"))</f>
        <v>Clean</v>
      </c>
      <c r="AD294">
        <f t="shared" si="45"/>
        <v>0</v>
      </c>
      <c r="AE294">
        <f>N294*O294*(1-AD294)</f>
        <v>33740.549999999996</v>
      </c>
      <c r="AF294">
        <f>AE294-R294</f>
        <v>9118.6599999999962</v>
      </c>
      <c r="AG294" s="3">
        <f t="shared" si="46"/>
        <v>0.2702581908119458</v>
      </c>
      <c r="AH294" t="str">
        <f t="shared" si="47"/>
        <v>February</v>
      </c>
      <c r="AI294">
        <f t="shared" si="48"/>
        <v>2025</v>
      </c>
    </row>
    <row r="295" spans="1:35">
      <c r="A295" t="s">
        <v>999</v>
      </c>
      <c r="B295" s="2">
        <v>45358</v>
      </c>
      <c r="C295" s="2">
        <v>45362</v>
      </c>
      <c r="D295" t="s">
        <v>1000</v>
      </c>
      <c r="E295" t="s">
        <v>67</v>
      </c>
      <c r="F295" t="s">
        <v>109</v>
      </c>
      <c r="G295" t="s">
        <v>68</v>
      </c>
      <c r="H295" t="s">
        <v>69</v>
      </c>
      <c r="I295" t="s">
        <v>70</v>
      </c>
      <c r="J295" t="s">
        <v>88</v>
      </c>
      <c r="K295" t="s">
        <v>185</v>
      </c>
      <c r="L295" t="s">
        <v>1001</v>
      </c>
      <c r="M295" t="s">
        <v>64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46</v>
      </c>
      <c r="U295" t="s">
        <v>47</v>
      </c>
      <c r="V295" t="str">
        <f t="shared" si="39"/>
        <v>Valid</v>
      </c>
      <c r="W295">
        <f t="shared" si="40"/>
        <v>4</v>
      </c>
      <c r="Y295" t="str">
        <f t="shared" si="41"/>
        <v>OK</v>
      </c>
      <c r="Z295" t="str">
        <f t="shared" si="42"/>
        <v>OK</v>
      </c>
      <c r="AA295" t="str">
        <f t="shared" si="43"/>
        <v>OK</v>
      </c>
      <c r="AB295" t="str">
        <f t="shared" si="44"/>
        <v>Valid</v>
      </c>
      <c r="AC295" t="str">
        <f>IF(OR(AB295="Invalid Discount",V295="Invalid Shipping"),
"Invalid",
IF(OR(Y295="Missing Region",
Z295="Missing Ship Mode",
AA295="Missing Discount",
X295="Flagged for Review"),
"Warning",
"Clean"))</f>
        <v>Clean</v>
      </c>
      <c r="AD295">
        <f t="shared" si="45"/>
        <v>0.65</v>
      </c>
      <c r="AE295">
        <f>N295*O295*(1-AD295)</f>
        <v>3081.0569999999998</v>
      </c>
      <c r="AF295">
        <f>AE295-R295</f>
        <v>-3459.9830000000002</v>
      </c>
      <c r="AG295" s="3">
        <f t="shared" si="46"/>
        <v>-1.1229857156164267</v>
      </c>
      <c r="AH295" t="str">
        <f t="shared" si="47"/>
        <v>March</v>
      </c>
      <c r="AI295">
        <f t="shared" si="48"/>
        <v>2024</v>
      </c>
    </row>
    <row r="296" spans="1:35">
      <c r="A296" t="s">
        <v>1002</v>
      </c>
      <c r="B296" s="2">
        <v>45854</v>
      </c>
      <c r="C296" s="2">
        <v>45860</v>
      </c>
      <c r="D296" t="s">
        <v>1003</v>
      </c>
      <c r="E296" t="s">
        <v>128</v>
      </c>
      <c r="F296" t="s">
        <v>38</v>
      </c>
      <c r="G296" t="s">
        <v>52</v>
      </c>
      <c r="H296" t="s">
        <v>53</v>
      </c>
      <c r="I296" t="s">
        <v>54</v>
      </c>
      <c r="J296" t="s">
        <v>88</v>
      </c>
      <c r="K296" t="s">
        <v>185</v>
      </c>
      <c r="L296" t="s">
        <v>1004</v>
      </c>
      <c r="M296" t="s">
        <v>45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46</v>
      </c>
      <c r="U296" t="s">
        <v>117</v>
      </c>
      <c r="V296" t="str">
        <f t="shared" si="39"/>
        <v>Valid</v>
      </c>
      <c r="W296">
        <f t="shared" si="40"/>
        <v>6</v>
      </c>
      <c r="Y296" t="str">
        <f t="shared" si="41"/>
        <v>OK</v>
      </c>
      <c r="Z296" t="str">
        <f t="shared" si="42"/>
        <v>OK</v>
      </c>
      <c r="AA296" t="str">
        <f t="shared" si="43"/>
        <v>OK</v>
      </c>
      <c r="AB296" t="str">
        <f t="shared" si="44"/>
        <v>Valid</v>
      </c>
      <c r="AC296" t="str">
        <f>IF(OR(AB296="Invalid Discount",V296="Invalid Shipping"),
"Invalid",
IF(OR(Y296="Missing Region",
Z296="Missing Ship Mode",
AA296="Missing Discount",
X296="Flagged for Review"),
"Warning",
"Clean"))</f>
        <v>Clean</v>
      </c>
      <c r="AD296">
        <f t="shared" si="45"/>
        <v>0.25</v>
      </c>
      <c r="AE296">
        <f>N296*O296*(1-AD296)</f>
        <v>18716.985000000001</v>
      </c>
      <c r="AF296">
        <f>AE296-R296</f>
        <v>6434.5550000000003</v>
      </c>
      <c r="AG296" s="3">
        <f t="shared" si="46"/>
        <v>0.34378159730319813</v>
      </c>
      <c r="AH296" t="str">
        <f t="shared" si="47"/>
        <v>July</v>
      </c>
      <c r="AI296">
        <f t="shared" si="48"/>
        <v>2025</v>
      </c>
    </row>
    <row r="297" spans="1:35">
      <c r="A297" t="s">
        <v>1005</v>
      </c>
      <c r="B297" s="2">
        <v>45833</v>
      </c>
      <c r="C297" s="2">
        <v>45836</v>
      </c>
      <c r="D297" t="s">
        <v>1006</v>
      </c>
      <c r="E297" t="s">
        <v>103</v>
      </c>
      <c r="F297" t="s">
        <v>51</v>
      </c>
      <c r="G297" t="s">
        <v>52</v>
      </c>
      <c r="H297" t="s">
        <v>180</v>
      </c>
      <c r="I297" t="s">
        <v>181</v>
      </c>
      <c r="J297" t="s">
        <v>42</v>
      </c>
      <c r="K297" t="s">
        <v>167</v>
      </c>
      <c r="L297" t="s">
        <v>1007</v>
      </c>
      <c r="M297" t="s">
        <v>73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46</v>
      </c>
      <c r="U297" t="s">
        <v>47</v>
      </c>
      <c r="V297" t="str">
        <f t="shared" si="39"/>
        <v>Valid</v>
      </c>
      <c r="W297">
        <f t="shared" si="40"/>
        <v>3</v>
      </c>
      <c r="Y297" t="str">
        <f t="shared" si="41"/>
        <v>OK</v>
      </c>
      <c r="Z297" t="str">
        <f t="shared" si="42"/>
        <v>OK</v>
      </c>
      <c r="AA297" t="str">
        <f t="shared" si="43"/>
        <v>OK</v>
      </c>
      <c r="AB297" t="str">
        <f t="shared" si="44"/>
        <v>Valid</v>
      </c>
      <c r="AC297" t="str">
        <f>IF(OR(AB297="Invalid Discount",V297="Invalid Shipping"),
"Invalid",
IF(OR(Y297="Missing Region",
Z297="Missing Ship Mode",
AA297="Missing Discount",
X297="Flagged for Review"),
"Warning",
"Clean"))</f>
        <v>Clean</v>
      </c>
      <c r="AD297">
        <f t="shared" si="45"/>
        <v>0.1</v>
      </c>
      <c r="AE297">
        <f>N297*O297*(1-AD297)</f>
        <v>9385.3350000000009</v>
      </c>
      <c r="AF297">
        <f>AE297-R297</f>
        <v>3556.795000000001</v>
      </c>
      <c r="AG297" s="3">
        <f t="shared" si="46"/>
        <v>0.37897368607513748</v>
      </c>
      <c r="AH297" t="str">
        <f t="shared" si="47"/>
        <v>June</v>
      </c>
      <c r="AI297">
        <f t="shared" si="48"/>
        <v>2025</v>
      </c>
    </row>
    <row r="298" spans="1:35">
      <c r="A298" t="s">
        <v>1008</v>
      </c>
      <c r="B298" s="2">
        <v>45801</v>
      </c>
      <c r="C298" s="2">
        <v>45803</v>
      </c>
      <c r="D298" t="s">
        <v>1009</v>
      </c>
      <c r="E298" t="s">
        <v>103</v>
      </c>
      <c r="F298" t="s">
        <v>109</v>
      </c>
      <c r="G298" t="s">
        <v>39</v>
      </c>
      <c r="H298" t="s">
        <v>251</v>
      </c>
      <c r="I298" t="s">
        <v>252</v>
      </c>
      <c r="J298" t="s">
        <v>55</v>
      </c>
      <c r="K298" t="s">
        <v>71</v>
      </c>
      <c r="L298" t="s">
        <v>1010</v>
      </c>
      <c r="M298" t="s">
        <v>58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46</v>
      </c>
      <c r="U298" t="s">
        <v>47</v>
      </c>
      <c r="V298" t="str">
        <f t="shared" si="39"/>
        <v>Valid</v>
      </c>
      <c r="W298">
        <f t="shared" si="40"/>
        <v>2</v>
      </c>
      <c r="Y298" t="str">
        <f t="shared" si="41"/>
        <v>OK</v>
      </c>
      <c r="Z298" t="str">
        <f t="shared" si="42"/>
        <v>OK</v>
      </c>
      <c r="AA298" t="str">
        <f t="shared" si="43"/>
        <v>OK</v>
      </c>
      <c r="AB298" t="str">
        <f t="shared" si="44"/>
        <v>Valid</v>
      </c>
      <c r="AC298" t="str">
        <f>IF(OR(AB298="Invalid Discount",V298="Invalid Shipping"),
"Invalid",
IF(OR(Y298="Missing Region",
Z298="Missing Ship Mode",
AA298="Missing Discount",
X298="Flagged for Review"),
"Warning",
"Clean"))</f>
        <v>Clean</v>
      </c>
      <c r="AD298">
        <f t="shared" si="45"/>
        <v>0.15</v>
      </c>
      <c r="AE298">
        <f>N298*O298*(1-AD298)</f>
        <v>17826.591</v>
      </c>
      <c r="AF298">
        <f>AE298-R298</f>
        <v>6971.241</v>
      </c>
      <c r="AG298" s="3">
        <f t="shared" si="46"/>
        <v>0.39105855965394615</v>
      </c>
      <c r="AH298" t="str">
        <f t="shared" si="47"/>
        <v>May</v>
      </c>
      <c r="AI298">
        <f t="shared" si="48"/>
        <v>2025</v>
      </c>
    </row>
    <row r="299" spans="1:35">
      <c r="A299" t="s">
        <v>1011</v>
      </c>
      <c r="B299" s="2">
        <v>45594</v>
      </c>
      <c r="C299" s="2">
        <v>45602</v>
      </c>
      <c r="D299" t="s">
        <v>1012</v>
      </c>
      <c r="E299" t="s">
        <v>146</v>
      </c>
      <c r="F299" t="s">
        <v>104</v>
      </c>
      <c r="G299" t="s">
        <v>68</v>
      </c>
      <c r="H299" t="s">
        <v>262</v>
      </c>
      <c r="I299" t="s">
        <v>263</v>
      </c>
      <c r="J299" t="s">
        <v>88</v>
      </c>
      <c r="K299" t="s">
        <v>94</v>
      </c>
      <c r="L299" t="s">
        <v>1013</v>
      </c>
      <c r="M299" t="s">
        <v>58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46</v>
      </c>
      <c r="U299" t="s">
        <v>47</v>
      </c>
      <c r="V299" t="str">
        <f t="shared" si="39"/>
        <v>Valid</v>
      </c>
      <c r="W299">
        <f t="shared" si="40"/>
        <v>8</v>
      </c>
      <c r="Y299" t="str">
        <f t="shared" si="41"/>
        <v>OK</v>
      </c>
      <c r="Z299" t="str">
        <f t="shared" si="42"/>
        <v>OK</v>
      </c>
      <c r="AA299" t="str">
        <f t="shared" si="43"/>
        <v>OK</v>
      </c>
      <c r="AB299" t="str">
        <f t="shared" si="44"/>
        <v>Valid</v>
      </c>
      <c r="AC299" t="str">
        <f>IF(OR(AB299="Invalid Discount",V299="Invalid Shipping"),
"Invalid",
IF(OR(Y299="Missing Region",
Z299="Missing Ship Mode",
AA299="Missing Discount",
X299="Flagged for Review"),
"Warning",
"Clean"))</f>
        <v>Clean</v>
      </c>
      <c r="AD299">
        <f t="shared" si="45"/>
        <v>0.15</v>
      </c>
      <c r="AE299">
        <f>N299*O299*(1-AD299)</f>
        <v>5966.5920000000006</v>
      </c>
      <c r="AF299">
        <f>AE299-R299</f>
        <v>1971.8720000000008</v>
      </c>
      <c r="AG299" s="3">
        <f t="shared" si="46"/>
        <v>0.33048547646629778</v>
      </c>
      <c r="AH299" t="str">
        <f t="shared" si="47"/>
        <v>October</v>
      </c>
      <c r="AI299">
        <f t="shared" si="48"/>
        <v>2024</v>
      </c>
    </row>
    <row r="300" spans="1:35">
      <c r="A300" t="s">
        <v>1014</v>
      </c>
      <c r="B300" s="2">
        <v>45680</v>
      </c>
      <c r="C300" s="2">
        <v>45683</v>
      </c>
      <c r="D300" t="s">
        <v>1015</v>
      </c>
      <c r="E300" t="s">
        <v>61</v>
      </c>
      <c r="F300" t="s">
        <v>38</v>
      </c>
      <c r="G300" t="s">
        <v>68</v>
      </c>
      <c r="H300" t="s">
        <v>199</v>
      </c>
      <c r="I300" t="s">
        <v>200</v>
      </c>
      <c r="J300" t="s">
        <v>88</v>
      </c>
      <c r="K300" t="s">
        <v>94</v>
      </c>
      <c r="L300" t="s">
        <v>1016</v>
      </c>
      <c r="M300" t="s">
        <v>64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169</v>
      </c>
      <c r="U300" t="s">
        <v>117</v>
      </c>
      <c r="V300" t="str">
        <f t="shared" si="39"/>
        <v>Valid</v>
      </c>
      <c r="W300">
        <f t="shared" si="40"/>
        <v>3</v>
      </c>
      <c r="Y300" t="str">
        <f t="shared" si="41"/>
        <v>OK</v>
      </c>
      <c r="Z300" t="str">
        <f t="shared" si="42"/>
        <v>OK</v>
      </c>
      <c r="AA300" t="str">
        <f t="shared" si="43"/>
        <v>OK</v>
      </c>
      <c r="AB300" t="str">
        <f t="shared" si="44"/>
        <v>Valid</v>
      </c>
      <c r="AC300" t="str">
        <f>IF(OR(AB300="Invalid Discount",V300="Invalid Shipping"),
"Invalid",
IF(OR(Y300="Missing Region",
Z300="Missing Ship Mode",
AA300="Missing Discount",
X300="Flagged for Review"),
"Warning",
"Clean"))</f>
        <v>Clean</v>
      </c>
      <c r="AD300">
        <f t="shared" si="45"/>
        <v>0.2</v>
      </c>
      <c r="AE300">
        <f>N300*O300*(1-AD300)</f>
        <v>1951.5440000000003</v>
      </c>
      <c r="AF300">
        <f>AE300-R300</f>
        <v>341.59400000000028</v>
      </c>
      <c r="AG300" s="3">
        <f t="shared" si="46"/>
        <v>0.17503781621116421</v>
      </c>
      <c r="AH300" t="str">
        <f t="shared" si="47"/>
        <v>January</v>
      </c>
      <c r="AI300">
        <f t="shared" si="48"/>
        <v>2025</v>
      </c>
    </row>
    <row r="301" spans="1:35">
      <c r="A301" t="s">
        <v>1017</v>
      </c>
      <c r="B301" s="2">
        <v>45602</v>
      </c>
      <c r="C301" s="2">
        <v>45608</v>
      </c>
      <c r="D301" t="s">
        <v>1018</v>
      </c>
      <c r="E301" t="s">
        <v>132</v>
      </c>
      <c r="F301" t="s">
        <v>51</v>
      </c>
      <c r="G301" t="s">
        <v>77</v>
      </c>
      <c r="H301" t="s">
        <v>194</v>
      </c>
      <c r="I301" t="s">
        <v>195</v>
      </c>
      <c r="J301" t="s">
        <v>88</v>
      </c>
      <c r="K301" t="s">
        <v>89</v>
      </c>
      <c r="L301" t="s">
        <v>1019</v>
      </c>
      <c r="M301" t="s">
        <v>73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46</v>
      </c>
      <c r="U301" t="s">
        <v>47</v>
      </c>
      <c r="V301" t="str">
        <f t="shared" si="39"/>
        <v>Valid</v>
      </c>
      <c r="W301">
        <f t="shared" si="40"/>
        <v>6</v>
      </c>
      <c r="Y301" t="str">
        <f t="shared" si="41"/>
        <v>OK</v>
      </c>
      <c r="Z301" t="str">
        <f t="shared" si="42"/>
        <v>OK</v>
      </c>
      <c r="AA301" t="str">
        <f t="shared" si="43"/>
        <v>OK</v>
      </c>
      <c r="AB301" t="str">
        <f t="shared" si="44"/>
        <v>Valid</v>
      </c>
      <c r="AC301" t="str">
        <f>IF(OR(AB301="Invalid Discount",V301="Invalid Shipping"),
"Invalid",
IF(OR(Y301="Missing Region",
Z301="Missing Ship Mode",
AA301="Missing Discount",
X301="Flagged for Review"),
"Warning",
"Clean"))</f>
        <v>Clean</v>
      </c>
      <c r="AD301">
        <f t="shared" si="45"/>
        <v>0.1</v>
      </c>
      <c r="AE301">
        <f>N301*O301*(1-AD301)</f>
        <v>10830.015000000001</v>
      </c>
      <c r="AF301">
        <f>AE301-R301</f>
        <v>3774.7050000000008</v>
      </c>
      <c r="AG301" s="3">
        <f t="shared" si="46"/>
        <v>0.34854106850267524</v>
      </c>
      <c r="AH301" t="str">
        <f t="shared" si="47"/>
        <v>November</v>
      </c>
      <c r="AI301">
        <f t="shared" si="48"/>
        <v>2024</v>
      </c>
    </row>
    <row r="302" spans="1:35">
      <c r="A302" t="s">
        <v>1020</v>
      </c>
      <c r="B302" s="2">
        <v>45397</v>
      </c>
      <c r="C302" s="2">
        <v>45405</v>
      </c>
      <c r="D302" t="s">
        <v>1021</v>
      </c>
      <c r="E302" t="s">
        <v>176</v>
      </c>
      <c r="F302" t="s">
        <v>51</v>
      </c>
      <c r="G302" t="s">
        <v>39</v>
      </c>
      <c r="H302" t="s">
        <v>136</v>
      </c>
      <c r="I302" t="s">
        <v>137</v>
      </c>
      <c r="J302" t="s">
        <v>88</v>
      </c>
      <c r="K302" t="s">
        <v>89</v>
      </c>
      <c r="L302" t="s">
        <v>1022</v>
      </c>
      <c r="M302" t="s">
        <v>45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46</v>
      </c>
      <c r="U302" t="s">
        <v>47</v>
      </c>
      <c r="V302" t="str">
        <f t="shared" si="39"/>
        <v>Valid</v>
      </c>
      <c r="W302">
        <f t="shared" si="40"/>
        <v>8</v>
      </c>
      <c r="Y302" t="str">
        <f t="shared" si="41"/>
        <v>OK</v>
      </c>
      <c r="Z302" t="str">
        <f t="shared" si="42"/>
        <v>OK</v>
      </c>
      <c r="AA302" t="str">
        <f t="shared" si="43"/>
        <v>OK</v>
      </c>
      <c r="AB302" t="str">
        <f t="shared" si="44"/>
        <v>Valid</v>
      </c>
      <c r="AC302" t="str">
        <f>IF(OR(AB302="Invalid Discount",V302="Invalid Shipping"),
"Invalid",
IF(OR(Y302="Missing Region",
Z302="Missing Ship Mode",
AA302="Missing Discount",
X302="Flagged for Review"),
"Warning",
"Clean"))</f>
        <v>Clean</v>
      </c>
      <c r="AD302">
        <f t="shared" si="45"/>
        <v>0.1</v>
      </c>
      <c r="AE302">
        <f>N302*O302*(1-AD302)</f>
        <v>31539.293999999998</v>
      </c>
      <c r="AF302">
        <f>AE302-R302</f>
        <v>9439.1539999999986</v>
      </c>
      <c r="AG302" s="3">
        <f t="shared" si="46"/>
        <v>0.29928234918638313</v>
      </c>
      <c r="AH302" t="str">
        <f t="shared" si="47"/>
        <v>April</v>
      </c>
      <c r="AI302">
        <f t="shared" si="48"/>
        <v>2024</v>
      </c>
    </row>
    <row r="303" spans="1:35">
      <c r="A303" t="s">
        <v>1023</v>
      </c>
      <c r="B303" s="2">
        <v>45805</v>
      </c>
      <c r="C303" s="2">
        <v>45809</v>
      </c>
      <c r="D303" t="s">
        <v>1024</v>
      </c>
      <c r="E303" t="s">
        <v>61</v>
      </c>
      <c r="F303" t="s">
        <v>109</v>
      </c>
      <c r="G303" t="s">
        <v>52</v>
      </c>
      <c r="H303" t="s">
        <v>159</v>
      </c>
      <c r="I303" t="s">
        <v>160</v>
      </c>
      <c r="J303" t="s">
        <v>88</v>
      </c>
      <c r="K303" t="s">
        <v>185</v>
      </c>
      <c r="L303" t="s">
        <v>1025</v>
      </c>
      <c r="M303" t="s">
        <v>58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46</v>
      </c>
      <c r="U303" t="s">
        <v>47</v>
      </c>
      <c r="V303" t="str">
        <f t="shared" si="39"/>
        <v>Valid</v>
      </c>
      <c r="W303">
        <f t="shared" si="40"/>
        <v>4</v>
      </c>
      <c r="Y303" t="str">
        <f t="shared" si="41"/>
        <v>OK</v>
      </c>
      <c r="Z303" t="str">
        <f t="shared" si="42"/>
        <v>OK</v>
      </c>
      <c r="AA303" t="str">
        <f t="shared" si="43"/>
        <v>OK</v>
      </c>
      <c r="AB303" t="str">
        <f t="shared" si="44"/>
        <v>Valid</v>
      </c>
      <c r="AC303" t="str">
        <f>IF(OR(AB303="Invalid Discount",V303="Invalid Shipping"),
"Invalid",
IF(OR(Y303="Missing Region",
Z303="Missing Ship Mode",
AA303="Missing Discount",
X303="Flagged for Review"),
"Warning",
"Clean"))</f>
        <v>Clean</v>
      </c>
      <c r="AD303">
        <f t="shared" si="45"/>
        <v>0.05</v>
      </c>
      <c r="AE303">
        <f>N303*O303*(1-AD303)</f>
        <v>6285.6179999999995</v>
      </c>
      <c r="AF303">
        <f>AE303-R303</f>
        <v>2580.2379999999994</v>
      </c>
      <c r="AG303" s="3">
        <f t="shared" si="46"/>
        <v>0.41049869718458865</v>
      </c>
      <c r="AH303" t="str">
        <f t="shared" si="47"/>
        <v>May</v>
      </c>
      <c r="AI303">
        <f t="shared" si="48"/>
        <v>2025</v>
      </c>
    </row>
    <row r="304" spans="1:35">
      <c r="A304" t="s">
        <v>1026</v>
      </c>
      <c r="B304" s="2">
        <v>45812</v>
      </c>
      <c r="C304" s="2">
        <v>45820</v>
      </c>
      <c r="D304" t="s">
        <v>1027</v>
      </c>
      <c r="E304" t="s">
        <v>93</v>
      </c>
      <c r="F304" t="s">
        <v>38</v>
      </c>
      <c r="G304" t="s">
        <v>77</v>
      </c>
      <c r="H304" t="s">
        <v>204</v>
      </c>
      <c r="I304" t="s">
        <v>205</v>
      </c>
      <c r="J304" t="s">
        <v>42</v>
      </c>
      <c r="K304" t="s">
        <v>138</v>
      </c>
      <c r="L304" t="s">
        <v>1028</v>
      </c>
      <c r="M304" t="s">
        <v>58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46</v>
      </c>
      <c r="U304" t="s">
        <v>47</v>
      </c>
      <c r="V304" t="str">
        <f t="shared" si="39"/>
        <v>Valid</v>
      </c>
      <c r="W304">
        <f t="shared" si="40"/>
        <v>8</v>
      </c>
      <c r="Y304" t="str">
        <f t="shared" si="41"/>
        <v>OK</v>
      </c>
      <c r="Z304" t="str">
        <f t="shared" si="42"/>
        <v>OK</v>
      </c>
      <c r="AA304" t="str">
        <f t="shared" si="43"/>
        <v>OK</v>
      </c>
      <c r="AB304" t="str">
        <f t="shared" si="44"/>
        <v>Valid</v>
      </c>
      <c r="AC304" t="str">
        <f>IF(OR(AB304="Invalid Discount",V304="Invalid Shipping"),
"Invalid",
IF(OR(Y304="Missing Region",
Z304="Missing Ship Mode",
AA304="Missing Discount",
X304="Flagged for Review"),
"Warning",
"Clean"))</f>
        <v>Clean</v>
      </c>
      <c r="AD304">
        <f t="shared" si="45"/>
        <v>0.25</v>
      </c>
      <c r="AE304">
        <f>N304*O304*(1-AD304)</f>
        <v>4054.92</v>
      </c>
      <c r="AF304">
        <f>AE304-R304</f>
        <v>1630.0900000000001</v>
      </c>
      <c r="AG304" s="3">
        <f t="shared" si="46"/>
        <v>0.40200299882611745</v>
      </c>
      <c r="AH304" t="str">
        <f t="shared" si="47"/>
        <v>June</v>
      </c>
      <c r="AI304">
        <f t="shared" si="48"/>
        <v>2025</v>
      </c>
    </row>
    <row r="305" spans="1:35">
      <c r="A305" t="s">
        <v>1029</v>
      </c>
      <c r="B305" s="2">
        <v>45466</v>
      </c>
      <c r="C305" s="2">
        <v>45471</v>
      </c>
      <c r="D305" t="s">
        <v>1030</v>
      </c>
      <c r="E305" t="s">
        <v>176</v>
      </c>
      <c r="F305" t="s">
        <v>109</v>
      </c>
      <c r="G305" t="s">
        <v>77</v>
      </c>
      <c r="H305" t="s">
        <v>194</v>
      </c>
      <c r="I305" t="s">
        <v>195</v>
      </c>
      <c r="J305" t="s">
        <v>55</v>
      </c>
      <c r="K305" t="s">
        <v>80</v>
      </c>
      <c r="L305" t="s">
        <v>1031</v>
      </c>
      <c r="M305" t="s">
        <v>73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125</v>
      </c>
      <c r="U305" t="s">
        <v>117</v>
      </c>
      <c r="V305" t="str">
        <f t="shared" si="39"/>
        <v>Valid</v>
      </c>
      <c r="W305">
        <f t="shared" si="40"/>
        <v>5</v>
      </c>
      <c r="Y305" t="str">
        <f t="shared" si="41"/>
        <v>OK</v>
      </c>
      <c r="Z305" t="str">
        <f t="shared" si="42"/>
        <v>OK</v>
      </c>
      <c r="AA305" t="str">
        <f t="shared" si="43"/>
        <v>OK</v>
      </c>
      <c r="AB305" t="str">
        <f t="shared" si="44"/>
        <v>Valid</v>
      </c>
      <c r="AC305" t="str">
        <f>IF(OR(AB305="Invalid Discount",V305="Invalid Shipping"),
"Invalid",
IF(OR(Y305="Missing Region",
Z305="Missing Ship Mode",
AA305="Missing Discount",
X305="Flagged for Review"),
"Warning",
"Clean"))</f>
        <v>Clean</v>
      </c>
      <c r="AD305">
        <f t="shared" si="45"/>
        <v>0.1</v>
      </c>
      <c r="AE305">
        <f>N305*O305*(1-AD305)</f>
        <v>2363.652</v>
      </c>
      <c r="AF305">
        <f>AE305-R305</f>
        <v>487.55200000000013</v>
      </c>
      <c r="AG305" s="3">
        <f t="shared" si="46"/>
        <v>0.20627063544041174</v>
      </c>
      <c r="AH305" t="str">
        <f t="shared" si="47"/>
        <v>June</v>
      </c>
      <c r="AI305">
        <f t="shared" si="48"/>
        <v>2024</v>
      </c>
    </row>
    <row r="306" spans="1:35">
      <c r="A306" t="s">
        <v>1032</v>
      </c>
      <c r="B306" s="2">
        <v>45357</v>
      </c>
      <c r="C306" s="2">
        <v>45364</v>
      </c>
      <c r="D306" t="s">
        <v>1033</v>
      </c>
      <c r="E306" t="s">
        <v>37</v>
      </c>
      <c r="F306" t="s">
        <v>38</v>
      </c>
      <c r="G306" t="s">
        <v>39</v>
      </c>
      <c r="H306" t="s">
        <v>136</v>
      </c>
      <c r="I306" t="s">
        <v>137</v>
      </c>
      <c r="J306" t="s">
        <v>55</v>
      </c>
      <c r="K306" t="s">
        <v>71</v>
      </c>
      <c r="L306" t="s">
        <v>1034</v>
      </c>
      <c r="M306" t="s">
        <v>73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46</v>
      </c>
      <c r="U306" t="s">
        <v>47</v>
      </c>
      <c r="V306" t="str">
        <f t="shared" si="39"/>
        <v>Valid</v>
      </c>
      <c r="W306">
        <f t="shared" si="40"/>
        <v>7</v>
      </c>
      <c r="Y306" t="str">
        <f t="shared" si="41"/>
        <v>OK</v>
      </c>
      <c r="Z306" t="str">
        <f t="shared" si="42"/>
        <v>OK</v>
      </c>
      <c r="AA306" t="str">
        <f t="shared" si="43"/>
        <v>OK</v>
      </c>
      <c r="AB306" t="str">
        <f t="shared" si="44"/>
        <v>Valid</v>
      </c>
      <c r="AC306" t="str">
        <f>IF(OR(AB306="Invalid Discount",V306="Invalid Shipping"),
"Invalid",
IF(OR(Y306="Missing Region",
Z306="Missing Ship Mode",
AA306="Missing Discount",
X306="Flagged for Review"),
"Warning",
"Clean"))</f>
        <v>Clean</v>
      </c>
      <c r="AD306">
        <f t="shared" si="45"/>
        <v>0.1</v>
      </c>
      <c r="AE306">
        <f>N306*O306*(1-AD306)</f>
        <v>12976.470000000001</v>
      </c>
      <c r="AF306">
        <f>AE306-R306</f>
        <v>2956.4900000000016</v>
      </c>
      <c r="AG306" s="3">
        <f t="shared" si="46"/>
        <v>0.22783468847845378</v>
      </c>
      <c r="AH306" t="str">
        <f t="shared" si="47"/>
        <v>March</v>
      </c>
      <c r="AI306">
        <f t="shared" si="48"/>
        <v>2024</v>
      </c>
    </row>
    <row r="307" spans="1:35">
      <c r="A307" t="s">
        <v>1035</v>
      </c>
      <c r="B307" s="2">
        <v>45413</v>
      </c>
      <c r="C307" s="2">
        <v>45414</v>
      </c>
      <c r="D307" t="s">
        <v>1036</v>
      </c>
      <c r="E307" t="s">
        <v>76</v>
      </c>
      <c r="F307" t="s">
        <v>38</v>
      </c>
      <c r="G307" t="s">
        <v>52</v>
      </c>
      <c r="H307" t="s">
        <v>180</v>
      </c>
      <c r="I307" t="s">
        <v>181</v>
      </c>
      <c r="J307" t="s">
        <v>55</v>
      </c>
      <c r="K307" t="s">
        <v>80</v>
      </c>
      <c r="L307" t="s">
        <v>1037</v>
      </c>
      <c r="M307" t="s">
        <v>64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46</v>
      </c>
      <c r="U307" t="s">
        <v>82</v>
      </c>
      <c r="V307" t="str">
        <f t="shared" si="39"/>
        <v>Valid</v>
      </c>
      <c r="W307">
        <f t="shared" si="40"/>
        <v>1</v>
      </c>
      <c r="Y307" t="str">
        <f t="shared" si="41"/>
        <v>OK</v>
      </c>
      <c r="Z307" t="str">
        <f t="shared" si="42"/>
        <v>OK</v>
      </c>
      <c r="AA307" t="str">
        <f t="shared" si="43"/>
        <v>OK</v>
      </c>
      <c r="AB307" t="str">
        <f t="shared" si="44"/>
        <v>Valid</v>
      </c>
      <c r="AC307" t="str">
        <f>IF(OR(AB307="Invalid Discount",V307="Invalid Shipping"),
"Invalid",
IF(OR(Y307="Missing Region",
Z307="Missing Ship Mode",
AA307="Missing Discount",
X307="Flagged for Review"),
"Warning",
"Clean"))</f>
        <v>Clean</v>
      </c>
      <c r="AD307">
        <f t="shared" si="45"/>
        <v>0.55000000000000004</v>
      </c>
      <c r="AE307">
        <f>N307*O307*(1-AD307)</f>
        <v>7480.9080000000004</v>
      </c>
      <c r="AF307">
        <f>AE307-R307</f>
        <v>-2371.0019999999995</v>
      </c>
      <c r="AG307" s="3">
        <f t="shared" si="46"/>
        <v>-0.31694040349112695</v>
      </c>
      <c r="AH307" t="str">
        <f t="shared" si="47"/>
        <v>May</v>
      </c>
      <c r="AI307">
        <f t="shared" si="48"/>
        <v>2024</v>
      </c>
    </row>
    <row r="308" spans="1:35">
      <c r="A308" t="s">
        <v>1038</v>
      </c>
      <c r="B308" s="2">
        <v>45708</v>
      </c>
      <c r="C308" s="2">
        <v>45711</v>
      </c>
      <c r="D308" t="s">
        <v>1039</v>
      </c>
      <c r="E308" t="s">
        <v>142</v>
      </c>
      <c r="F308" t="s">
        <v>38</v>
      </c>
      <c r="G308" t="s">
        <v>39</v>
      </c>
      <c r="H308" t="s">
        <v>40</v>
      </c>
      <c r="I308" t="s">
        <v>41</v>
      </c>
      <c r="J308" t="s">
        <v>88</v>
      </c>
      <c r="K308" t="s">
        <v>185</v>
      </c>
      <c r="L308" t="s">
        <v>1040</v>
      </c>
      <c r="M308" t="s">
        <v>45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46</v>
      </c>
      <c r="U308" t="s">
        <v>47</v>
      </c>
      <c r="V308" t="str">
        <f t="shared" si="39"/>
        <v>Valid</v>
      </c>
      <c r="W308">
        <f t="shared" si="40"/>
        <v>3</v>
      </c>
      <c r="Y308" t="str">
        <f t="shared" si="41"/>
        <v>OK</v>
      </c>
      <c r="Z308" t="str">
        <f t="shared" si="42"/>
        <v>OK</v>
      </c>
      <c r="AA308" t="str">
        <f t="shared" si="43"/>
        <v>OK</v>
      </c>
      <c r="AB308" t="str">
        <f t="shared" si="44"/>
        <v>Valid</v>
      </c>
      <c r="AC308" t="str">
        <f>IF(OR(AB308="Invalid Discount",V308="Invalid Shipping"),
"Invalid",
IF(OR(Y308="Missing Region",
Z308="Missing Ship Mode",
AA308="Missing Discount",
X308="Flagged for Review"),
"Warning",
"Clean"))</f>
        <v>Clean</v>
      </c>
      <c r="AD308">
        <f t="shared" si="45"/>
        <v>0</v>
      </c>
      <c r="AE308">
        <f>N308*O308*(1-AD308)</f>
        <v>14692.44</v>
      </c>
      <c r="AF308">
        <f>AE308-R308</f>
        <v>4610.25</v>
      </c>
      <c r="AG308" s="3">
        <f t="shared" si="46"/>
        <v>0.31378382351740075</v>
      </c>
      <c r="AH308" t="str">
        <f t="shared" si="47"/>
        <v>February</v>
      </c>
      <c r="AI308">
        <f t="shared" si="48"/>
        <v>2025</v>
      </c>
    </row>
    <row r="309" spans="1:35">
      <c r="A309" t="s">
        <v>1041</v>
      </c>
      <c r="B309" s="2">
        <v>45850</v>
      </c>
      <c r="C309" s="2">
        <v>45857</v>
      </c>
      <c r="D309" t="s">
        <v>1042</v>
      </c>
      <c r="E309" t="s">
        <v>76</v>
      </c>
      <c r="F309" t="s">
        <v>104</v>
      </c>
      <c r="G309" t="s">
        <v>39</v>
      </c>
      <c r="H309" t="s">
        <v>150</v>
      </c>
      <c r="I309" t="s">
        <v>151</v>
      </c>
      <c r="J309" t="s">
        <v>55</v>
      </c>
      <c r="K309" t="s">
        <v>56</v>
      </c>
      <c r="L309" t="s">
        <v>1043</v>
      </c>
      <c r="M309" t="s">
        <v>64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125</v>
      </c>
      <c r="U309" t="s">
        <v>82</v>
      </c>
      <c r="V309" t="str">
        <f t="shared" si="39"/>
        <v>Valid</v>
      </c>
      <c r="W309">
        <f t="shared" si="40"/>
        <v>7</v>
      </c>
      <c r="Y309" t="str">
        <f t="shared" si="41"/>
        <v>OK</v>
      </c>
      <c r="Z309" t="str">
        <f t="shared" si="42"/>
        <v>OK</v>
      </c>
      <c r="AA309" t="str">
        <f t="shared" si="43"/>
        <v>OK</v>
      </c>
      <c r="AB309" t="str">
        <f t="shared" si="44"/>
        <v>Valid</v>
      </c>
      <c r="AC309" t="str">
        <f>IF(OR(AB309="Invalid Discount",V309="Invalid Shipping"),
"Invalid",
IF(OR(Y309="Missing Region",
Z309="Missing Ship Mode",
AA309="Missing Discount",
X309="Flagged for Review"),
"Warning",
"Clean"))</f>
        <v>Clean</v>
      </c>
      <c r="AD309">
        <f t="shared" si="45"/>
        <v>0.2</v>
      </c>
      <c r="AE309">
        <f>N309*O309*(1-AD309)</f>
        <v>29469.888000000003</v>
      </c>
      <c r="AF309">
        <f>AE309-R309</f>
        <v>10534.378000000004</v>
      </c>
      <c r="AG309" s="3">
        <f t="shared" si="46"/>
        <v>0.3574624375905332</v>
      </c>
      <c r="AH309" t="str">
        <f t="shared" si="47"/>
        <v>July</v>
      </c>
      <c r="AI309">
        <f t="shared" si="48"/>
        <v>2025</v>
      </c>
    </row>
    <row r="310" spans="1:35">
      <c r="A310" t="s">
        <v>1044</v>
      </c>
      <c r="B310" s="2">
        <v>45821</v>
      </c>
      <c r="C310" s="2">
        <v>45827</v>
      </c>
      <c r="D310" t="s">
        <v>1045</v>
      </c>
      <c r="E310" t="s">
        <v>155</v>
      </c>
      <c r="F310" t="s">
        <v>38</v>
      </c>
      <c r="G310" t="s">
        <v>39</v>
      </c>
      <c r="H310" t="s">
        <v>40</v>
      </c>
      <c r="I310" t="s">
        <v>41</v>
      </c>
      <c r="J310" t="s">
        <v>55</v>
      </c>
      <c r="K310" t="s">
        <v>56</v>
      </c>
      <c r="L310" t="s">
        <v>1046</v>
      </c>
      <c r="M310" t="s">
        <v>64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46</v>
      </c>
      <c r="U310" t="s">
        <v>47</v>
      </c>
      <c r="V310" t="str">
        <f t="shared" si="39"/>
        <v>Valid</v>
      </c>
      <c r="W310">
        <f t="shared" si="40"/>
        <v>6</v>
      </c>
      <c r="Y310" t="str">
        <f t="shared" si="41"/>
        <v>OK</v>
      </c>
      <c r="Z310" t="str">
        <f t="shared" si="42"/>
        <v>OK</v>
      </c>
      <c r="AA310" t="str">
        <f t="shared" si="43"/>
        <v>OK</v>
      </c>
      <c r="AB310" t="str">
        <f t="shared" si="44"/>
        <v>Valid</v>
      </c>
      <c r="AC310" t="str">
        <f>IF(OR(AB310="Invalid Discount",V310="Invalid Shipping"),
"Invalid",
IF(OR(Y310="Missing Region",
Z310="Missing Ship Mode",
AA310="Missing Discount",
X310="Flagged for Review"),
"Warning",
"Clean"))</f>
        <v>Clean</v>
      </c>
      <c r="AD310">
        <f t="shared" si="45"/>
        <v>0.2</v>
      </c>
      <c r="AE310">
        <f>N310*O310*(1-AD310)</f>
        <v>2341.0240000000003</v>
      </c>
      <c r="AF310">
        <f>AE310-R310</f>
        <v>775.53400000000033</v>
      </c>
      <c r="AG310" s="3">
        <f t="shared" si="46"/>
        <v>0.33127981601213835</v>
      </c>
      <c r="AH310" t="str">
        <f t="shared" si="47"/>
        <v>June</v>
      </c>
      <c r="AI310">
        <f t="shared" si="48"/>
        <v>2025</v>
      </c>
    </row>
    <row r="311" spans="1:35">
      <c r="A311" t="s">
        <v>1047</v>
      </c>
      <c r="B311" s="2">
        <v>45493</v>
      </c>
      <c r="C311" s="2">
        <v>45495</v>
      </c>
      <c r="D311" t="s">
        <v>1048</v>
      </c>
      <c r="E311" t="s">
        <v>76</v>
      </c>
      <c r="F311" t="s">
        <v>38</v>
      </c>
      <c r="G311" t="s">
        <v>68</v>
      </c>
      <c r="H311" t="s">
        <v>262</v>
      </c>
      <c r="I311" t="s">
        <v>263</v>
      </c>
      <c r="J311" t="s">
        <v>55</v>
      </c>
      <c r="K311" t="s">
        <v>56</v>
      </c>
      <c r="L311" t="s">
        <v>1049</v>
      </c>
      <c r="M311" t="s">
        <v>64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46</v>
      </c>
      <c r="U311" t="s">
        <v>82</v>
      </c>
      <c r="V311" t="str">
        <f t="shared" si="39"/>
        <v>Valid</v>
      </c>
      <c r="W311">
        <f t="shared" si="40"/>
        <v>2</v>
      </c>
      <c r="Y311" t="str">
        <f t="shared" si="41"/>
        <v>OK</v>
      </c>
      <c r="Z311" t="str">
        <f t="shared" si="42"/>
        <v>OK</v>
      </c>
      <c r="AA311" t="str">
        <f t="shared" si="43"/>
        <v>OK</v>
      </c>
      <c r="AB311" t="str">
        <f t="shared" si="44"/>
        <v>Valid</v>
      </c>
      <c r="AC311" t="str">
        <f>IF(OR(AB311="Invalid Discount",V311="Invalid Shipping"),
"Invalid",
IF(OR(Y311="Missing Region",
Z311="Missing Ship Mode",
AA311="Missing Discount",
X311="Flagged for Review"),
"Warning",
"Clean"))</f>
        <v>Clean</v>
      </c>
      <c r="AD311">
        <f t="shared" si="45"/>
        <v>0.1</v>
      </c>
      <c r="AE311">
        <f>N311*O311*(1-AD311)</f>
        <v>12982.599</v>
      </c>
      <c r="AF311">
        <f>AE311-R311</f>
        <v>5736.2390000000005</v>
      </c>
      <c r="AG311" s="3">
        <f t="shared" si="46"/>
        <v>0.441840574448922</v>
      </c>
      <c r="AH311" t="str">
        <f t="shared" si="47"/>
        <v>July</v>
      </c>
      <c r="AI311">
        <f t="shared" si="48"/>
        <v>2024</v>
      </c>
    </row>
    <row r="312" spans="1:35">
      <c r="A312" t="s">
        <v>1050</v>
      </c>
      <c r="B312" s="2">
        <v>45477</v>
      </c>
      <c r="C312" s="2">
        <v>45481</v>
      </c>
      <c r="D312" t="s">
        <v>1051</v>
      </c>
      <c r="E312" t="s">
        <v>155</v>
      </c>
      <c r="F312" t="s">
        <v>51</v>
      </c>
      <c r="G312" t="s">
        <v>68</v>
      </c>
      <c r="H312" t="s">
        <v>262</v>
      </c>
      <c r="I312" t="s">
        <v>263</v>
      </c>
      <c r="J312" t="s">
        <v>88</v>
      </c>
      <c r="K312" t="s">
        <v>289</v>
      </c>
      <c r="L312" t="s">
        <v>1052</v>
      </c>
      <c r="M312" t="s">
        <v>64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46</v>
      </c>
      <c r="U312" t="s">
        <v>47</v>
      </c>
      <c r="V312" t="str">
        <f t="shared" si="39"/>
        <v>Valid</v>
      </c>
      <c r="W312">
        <f t="shared" si="40"/>
        <v>4</v>
      </c>
      <c r="Y312" t="str">
        <f t="shared" si="41"/>
        <v>OK</v>
      </c>
      <c r="Z312" t="str">
        <f t="shared" si="42"/>
        <v>OK</v>
      </c>
      <c r="AA312" t="str">
        <f t="shared" si="43"/>
        <v>OK</v>
      </c>
      <c r="AB312" t="str">
        <f t="shared" si="44"/>
        <v>Valid</v>
      </c>
      <c r="AC312" t="str">
        <f>IF(OR(AB312="Invalid Discount",V312="Invalid Shipping"),
"Invalid",
IF(OR(Y312="Missing Region",
Z312="Missing Ship Mode",
AA312="Missing Discount",
X312="Flagged for Review"),
"Warning",
"Clean"))</f>
        <v>Clean</v>
      </c>
      <c r="AD312">
        <f t="shared" si="45"/>
        <v>0</v>
      </c>
      <c r="AE312">
        <f>N312*O312*(1-AD312)</f>
        <v>16274</v>
      </c>
      <c r="AF312">
        <f>AE312-R312</f>
        <v>6849.75</v>
      </c>
      <c r="AG312" s="3">
        <f t="shared" si="46"/>
        <v>0.42090143787636719</v>
      </c>
      <c r="AH312" t="str">
        <f t="shared" si="47"/>
        <v>July</v>
      </c>
      <c r="AI312">
        <f t="shared" si="48"/>
        <v>2024</v>
      </c>
    </row>
    <row r="313" spans="1:35">
      <c r="A313" t="s">
        <v>1053</v>
      </c>
      <c r="B313" s="2">
        <v>45409</v>
      </c>
      <c r="C313" s="2">
        <v>45414</v>
      </c>
      <c r="D313" t="s">
        <v>1054</v>
      </c>
      <c r="E313" t="s">
        <v>50</v>
      </c>
      <c r="F313" t="s">
        <v>104</v>
      </c>
      <c r="G313" t="s">
        <v>68</v>
      </c>
      <c r="H313" t="s">
        <v>189</v>
      </c>
      <c r="I313" t="s">
        <v>190</v>
      </c>
      <c r="J313" t="s">
        <v>42</v>
      </c>
      <c r="K313" t="s">
        <v>167</v>
      </c>
      <c r="L313" t="s">
        <v>1055</v>
      </c>
      <c r="M313" t="s">
        <v>45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46</v>
      </c>
      <c r="U313" t="s">
        <v>47</v>
      </c>
      <c r="V313" t="str">
        <f t="shared" si="39"/>
        <v>Valid</v>
      </c>
      <c r="W313">
        <f t="shared" si="40"/>
        <v>5</v>
      </c>
      <c r="Y313" t="str">
        <f t="shared" si="41"/>
        <v>OK</v>
      </c>
      <c r="Z313" t="str">
        <f t="shared" si="42"/>
        <v>OK</v>
      </c>
      <c r="AA313" t="str">
        <f t="shared" si="43"/>
        <v>OK</v>
      </c>
      <c r="AB313" t="str">
        <f t="shared" si="44"/>
        <v>Valid</v>
      </c>
      <c r="AC313" t="str">
        <f>IF(OR(AB313="Invalid Discount",V313="Invalid Shipping"),
"Invalid",
IF(OR(Y313="Missing Region",
Z313="Missing Ship Mode",
AA313="Missing Discount",
X313="Flagged for Review"),
"Warning",
"Clean"))</f>
        <v>Clean</v>
      </c>
      <c r="AD313">
        <f t="shared" si="45"/>
        <v>0.1</v>
      </c>
      <c r="AE313">
        <f>N313*O313*(1-AD313)</f>
        <v>2493.1799999999998</v>
      </c>
      <c r="AF313">
        <f>AE313-R313</f>
        <v>729.17999999999984</v>
      </c>
      <c r="AG313" s="3">
        <f t="shared" si="46"/>
        <v>0.29246985777200196</v>
      </c>
      <c r="AH313" t="str">
        <f t="shared" si="47"/>
        <v>April</v>
      </c>
      <c r="AI313">
        <f t="shared" si="48"/>
        <v>2024</v>
      </c>
    </row>
    <row r="314" spans="1:35">
      <c r="A314" t="s">
        <v>1056</v>
      </c>
      <c r="B314" s="2">
        <v>45504</v>
      </c>
      <c r="C314" s="2">
        <v>45508</v>
      </c>
      <c r="D314" t="s">
        <v>1057</v>
      </c>
      <c r="E314" t="s">
        <v>37</v>
      </c>
      <c r="F314" t="s">
        <v>51</v>
      </c>
      <c r="G314" t="s">
        <v>52</v>
      </c>
      <c r="H314" t="s">
        <v>180</v>
      </c>
      <c r="I314" t="s">
        <v>181</v>
      </c>
      <c r="J314" t="s">
        <v>88</v>
      </c>
      <c r="K314" t="s">
        <v>185</v>
      </c>
      <c r="L314" t="s">
        <v>1058</v>
      </c>
      <c r="M314" t="s">
        <v>73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46</v>
      </c>
      <c r="U314" t="s">
        <v>82</v>
      </c>
      <c r="V314" t="str">
        <f t="shared" si="39"/>
        <v>Valid</v>
      </c>
      <c r="W314">
        <f t="shared" si="40"/>
        <v>4</v>
      </c>
      <c r="Y314" t="str">
        <f t="shared" si="41"/>
        <v>OK</v>
      </c>
      <c r="Z314" t="str">
        <f t="shared" si="42"/>
        <v>OK</v>
      </c>
      <c r="AA314" t="str">
        <f t="shared" si="43"/>
        <v>Missing Discount</v>
      </c>
      <c r="AB314" t="str">
        <f t="shared" si="44"/>
        <v>Valid</v>
      </c>
      <c r="AC314" t="str">
        <f>IF(OR(AB314="Invalid Discount",V314="Invalid Shipping"),
"Invalid",
IF(OR(Y314="Missing Region",
Z314="Missing Ship Mode",
AA314="Missing Discount",
X314="Flagged for Review"),
"Warning",
"Clean"))</f>
        <v>Warning</v>
      </c>
      <c r="AD314">
        <f t="shared" si="45"/>
        <v>0</v>
      </c>
      <c r="AE314">
        <f>N314*O314*(1-AD314)</f>
        <v>20917.919999999998</v>
      </c>
      <c r="AF314">
        <f>AE314-R314</f>
        <v>10870.589999999998</v>
      </c>
      <c r="AG314" s="3">
        <f t="shared" si="46"/>
        <v>0.5196783427797792</v>
      </c>
      <c r="AH314" t="str">
        <f t="shared" si="47"/>
        <v>July</v>
      </c>
      <c r="AI314">
        <f t="shared" si="48"/>
        <v>2024</v>
      </c>
    </row>
    <row r="315" spans="1:35">
      <c r="A315" t="s">
        <v>1059</v>
      </c>
      <c r="B315" s="2">
        <v>45807</v>
      </c>
      <c r="C315" s="2">
        <v>45808</v>
      </c>
      <c r="D315" t="s">
        <v>1060</v>
      </c>
      <c r="E315" t="s">
        <v>132</v>
      </c>
      <c r="F315" t="s">
        <v>104</v>
      </c>
      <c r="G315" t="s">
        <v>39</v>
      </c>
      <c r="H315" t="s">
        <v>150</v>
      </c>
      <c r="I315" t="s">
        <v>151</v>
      </c>
      <c r="J315" t="s">
        <v>88</v>
      </c>
      <c r="K315" t="s">
        <v>185</v>
      </c>
      <c r="L315" t="s">
        <v>1061</v>
      </c>
      <c r="M315" t="s">
        <v>64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116</v>
      </c>
      <c r="U315" t="s">
        <v>82</v>
      </c>
      <c r="V315" t="str">
        <f t="shared" si="39"/>
        <v>Valid</v>
      </c>
      <c r="W315">
        <f t="shared" si="40"/>
        <v>1</v>
      </c>
      <c r="Y315" t="str">
        <f t="shared" si="41"/>
        <v>OK</v>
      </c>
      <c r="Z315" t="str">
        <f t="shared" si="42"/>
        <v>OK</v>
      </c>
      <c r="AA315" t="str">
        <f t="shared" si="43"/>
        <v>OK</v>
      </c>
      <c r="AB315" t="str">
        <f t="shared" si="44"/>
        <v>Valid</v>
      </c>
      <c r="AC315" t="str">
        <f>IF(OR(AB315="Invalid Discount",V315="Invalid Shipping"),
"Invalid",
IF(OR(Y315="Missing Region",
Z315="Missing Ship Mode",
AA315="Missing Discount",
X315="Flagged for Review"),
"Warning",
"Clean"))</f>
        <v>Clean</v>
      </c>
      <c r="AD315">
        <f t="shared" si="45"/>
        <v>0.25</v>
      </c>
      <c r="AE315">
        <f>N315*O315*(1-AD315)</f>
        <v>12488.579999999998</v>
      </c>
      <c r="AF315">
        <f>AE315-R315</f>
        <v>1771.1799999999985</v>
      </c>
      <c r="AG315" s="3">
        <f t="shared" si="46"/>
        <v>0.14182397037933847</v>
      </c>
      <c r="AH315" t="str">
        <f t="shared" si="47"/>
        <v>May</v>
      </c>
      <c r="AI315">
        <f t="shared" si="48"/>
        <v>2025</v>
      </c>
    </row>
    <row r="316" spans="1:35">
      <c r="A316" t="s">
        <v>1062</v>
      </c>
      <c r="B316" s="2">
        <v>45795</v>
      </c>
      <c r="C316" s="2">
        <v>45797</v>
      </c>
      <c r="D316" t="s">
        <v>1063</v>
      </c>
      <c r="E316" t="s">
        <v>61</v>
      </c>
      <c r="F316" t="s">
        <v>104</v>
      </c>
      <c r="G316" t="s">
        <v>77</v>
      </c>
      <c r="H316" t="s">
        <v>86</v>
      </c>
      <c r="I316" t="s">
        <v>87</v>
      </c>
      <c r="J316" t="s">
        <v>42</v>
      </c>
      <c r="K316" t="s">
        <v>105</v>
      </c>
      <c r="L316" t="s">
        <v>1064</v>
      </c>
      <c r="M316" t="s">
        <v>73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169</v>
      </c>
      <c r="U316" t="s">
        <v>117</v>
      </c>
      <c r="V316" t="str">
        <f t="shared" si="39"/>
        <v>Valid</v>
      </c>
      <c r="W316">
        <f t="shared" si="40"/>
        <v>2</v>
      </c>
      <c r="X316" t="s">
        <v>398</v>
      </c>
      <c r="Y316" t="str">
        <f t="shared" si="41"/>
        <v>OK</v>
      </c>
      <c r="Z316" t="str">
        <f t="shared" si="42"/>
        <v>OK</v>
      </c>
      <c r="AA316" t="str">
        <f t="shared" si="43"/>
        <v>OK</v>
      </c>
      <c r="AB316" t="str">
        <f t="shared" si="44"/>
        <v>Valid</v>
      </c>
      <c r="AC316" t="str">
        <f>IF(OR(AB316="Invalid Discount",V316="Invalid Shipping"),
"Invalid",
IF(OR(Y316="Missing Region",
Z316="Missing Ship Mode",
AA316="Missing Discount",
X316="Flagged for Review"),
"Warning",
"Clean"))</f>
        <v>Warning</v>
      </c>
      <c r="AD316">
        <f t="shared" si="45"/>
        <v>0.15</v>
      </c>
      <c r="AE316">
        <f>N316*O316*(1-AD316)</f>
        <v>6485.3639999999996</v>
      </c>
      <c r="AF316">
        <f>AE316-R316</f>
        <v>1109.1939999999995</v>
      </c>
      <c r="AG316" s="3">
        <f t="shared" si="46"/>
        <v>0.17103033846673826</v>
      </c>
      <c r="AH316" t="str">
        <f t="shared" si="47"/>
        <v>May</v>
      </c>
      <c r="AI316">
        <f t="shared" si="48"/>
        <v>2025</v>
      </c>
    </row>
    <row r="317" spans="1:35">
      <c r="A317" t="s">
        <v>1065</v>
      </c>
      <c r="B317" s="2">
        <v>45475</v>
      </c>
      <c r="C317" s="2">
        <v>45481</v>
      </c>
      <c r="D317" t="s">
        <v>1066</v>
      </c>
      <c r="E317" t="s">
        <v>155</v>
      </c>
      <c r="F317" t="s">
        <v>38</v>
      </c>
      <c r="G317" t="s">
        <v>39</v>
      </c>
      <c r="H317" t="s">
        <v>365</v>
      </c>
      <c r="I317" t="s">
        <v>366</v>
      </c>
      <c r="J317" t="s">
        <v>42</v>
      </c>
      <c r="K317" t="s">
        <v>43</v>
      </c>
      <c r="L317" t="s">
        <v>1067</v>
      </c>
      <c r="M317" t="s">
        <v>73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125</v>
      </c>
      <c r="U317" t="s">
        <v>117</v>
      </c>
      <c r="V317" t="str">
        <f t="shared" si="39"/>
        <v>Valid</v>
      </c>
      <c r="W317">
        <f t="shared" si="40"/>
        <v>6</v>
      </c>
      <c r="Y317" t="str">
        <f t="shared" si="41"/>
        <v>OK</v>
      </c>
      <c r="Z317" t="str">
        <f t="shared" si="42"/>
        <v>OK</v>
      </c>
      <c r="AA317" t="str">
        <f t="shared" si="43"/>
        <v>OK</v>
      </c>
      <c r="AB317" t="str">
        <f t="shared" si="44"/>
        <v>Valid</v>
      </c>
      <c r="AC317" t="str">
        <f>IF(OR(AB317="Invalid Discount",V317="Invalid Shipping"),
"Invalid",
IF(OR(Y317="Missing Region",
Z317="Missing Ship Mode",
AA317="Missing Discount",
X317="Flagged for Review"),
"Warning",
"Clean"))</f>
        <v>Clean</v>
      </c>
      <c r="AD317">
        <f t="shared" si="45"/>
        <v>0.05</v>
      </c>
      <c r="AE317">
        <f>N317*O317*(1-AD317)</f>
        <v>29500.920000000002</v>
      </c>
      <c r="AF317">
        <f>AE317-R317</f>
        <v>11511.240000000002</v>
      </c>
      <c r="AG317" s="3">
        <f t="shared" si="46"/>
        <v>0.39019935649464493</v>
      </c>
      <c r="AH317" t="str">
        <f t="shared" si="47"/>
        <v>July</v>
      </c>
      <c r="AI317">
        <f t="shared" si="48"/>
        <v>2024</v>
      </c>
    </row>
    <row r="318" spans="1:35">
      <c r="A318" t="s">
        <v>1068</v>
      </c>
      <c r="B318" s="2">
        <v>45338</v>
      </c>
      <c r="C318" s="2">
        <v>45340</v>
      </c>
      <c r="D318" t="s">
        <v>1069</v>
      </c>
      <c r="E318" t="s">
        <v>37</v>
      </c>
      <c r="F318" t="s">
        <v>104</v>
      </c>
      <c r="G318" t="s">
        <v>39</v>
      </c>
      <c r="H318" t="s">
        <v>136</v>
      </c>
      <c r="I318" t="s">
        <v>137</v>
      </c>
      <c r="J318" t="s">
        <v>42</v>
      </c>
      <c r="K318" t="s">
        <v>105</v>
      </c>
      <c r="L318" t="s">
        <v>1070</v>
      </c>
      <c r="M318" t="s">
        <v>73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46</v>
      </c>
      <c r="U318" t="s">
        <v>82</v>
      </c>
      <c r="V318" t="str">
        <f t="shared" si="39"/>
        <v>Valid</v>
      </c>
      <c r="W318">
        <f t="shared" si="40"/>
        <v>2</v>
      </c>
      <c r="Y318" t="str">
        <f t="shared" si="41"/>
        <v>OK</v>
      </c>
      <c r="Z318" t="str">
        <f t="shared" si="42"/>
        <v>OK</v>
      </c>
      <c r="AA318" t="str">
        <f t="shared" si="43"/>
        <v>OK</v>
      </c>
      <c r="AB318" t="str">
        <f t="shared" si="44"/>
        <v>Valid</v>
      </c>
      <c r="AC318" t="str">
        <f>IF(OR(AB318="Invalid Discount",V318="Invalid Shipping"),
"Invalid",
IF(OR(Y318="Missing Region",
Z318="Missing Ship Mode",
AA318="Missing Discount",
X318="Flagged for Review"),
"Warning",
"Clean"))</f>
        <v>Clean</v>
      </c>
      <c r="AD318">
        <f t="shared" si="45"/>
        <v>0.2</v>
      </c>
      <c r="AE318">
        <f>N318*O318*(1-AD318)</f>
        <v>3116.0480000000002</v>
      </c>
      <c r="AF318">
        <f>AE318-R318</f>
        <v>1159.4180000000001</v>
      </c>
      <c r="AG318" s="3">
        <f t="shared" si="46"/>
        <v>0.37207963420332424</v>
      </c>
      <c r="AH318" t="str">
        <f t="shared" si="47"/>
        <v>February</v>
      </c>
      <c r="AI318">
        <f t="shared" si="48"/>
        <v>2024</v>
      </c>
    </row>
    <row r="319" spans="1:35">
      <c r="A319" t="s">
        <v>1071</v>
      </c>
      <c r="B319" s="2">
        <v>45898</v>
      </c>
      <c r="C319" s="2">
        <v>45904</v>
      </c>
      <c r="D319" t="s">
        <v>1072</v>
      </c>
      <c r="E319" t="s">
        <v>93</v>
      </c>
      <c r="F319" t="s">
        <v>104</v>
      </c>
      <c r="G319" t="s">
        <v>68</v>
      </c>
      <c r="H319" t="s">
        <v>199</v>
      </c>
      <c r="I319" t="s">
        <v>200</v>
      </c>
      <c r="J319" t="s">
        <v>55</v>
      </c>
      <c r="K319" t="s">
        <v>56</v>
      </c>
      <c r="L319" t="s">
        <v>1073</v>
      </c>
      <c r="M319" t="s">
        <v>64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46</v>
      </c>
      <c r="U319" t="s">
        <v>47</v>
      </c>
      <c r="V319" t="str">
        <f t="shared" si="39"/>
        <v>Valid</v>
      </c>
      <c r="W319">
        <f t="shared" si="40"/>
        <v>6</v>
      </c>
      <c r="Y319" t="str">
        <f t="shared" si="41"/>
        <v>OK</v>
      </c>
      <c r="Z319" t="str">
        <f t="shared" si="42"/>
        <v>OK</v>
      </c>
      <c r="AA319" t="str">
        <f t="shared" si="43"/>
        <v>OK</v>
      </c>
      <c r="AB319" t="str">
        <f t="shared" si="44"/>
        <v>Valid</v>
      </c>
      <c r="AC319" t="str">
        <f>IF(OR(AB319="Invalid Discount",V319="Invalid Shipping"),
"Invalid",
IF(OR(Y319="Missing Region",
Z319="Missing Ship Mode",
AA319="Missing Discount",
X319="Flagged for Review"),
"Warning",
"Clean"))</f>
        <v>Clean</v>
      </c>
      <c r="AD319">
        <f t="shared" si="45"/>
        <v>0.15</v>
      </c>
      <c r="AE319">
        <f>N319*O319*(1-AD319)</f>
        <v>22926.820499999998</v>
      </c>
      <c r="AF319">
        <f>AE319-R319</f>
        <v>8305.2304999999978</v>
      </c>
      <c r="AG319" s="3">
        <f t="shared" si="46"/>
        <v>0.36224955396671765</v>
      </c>
      <c r="AH319" t="str">
        <f t="shared" si="47"/>
        <v>August</v>
      </c>
      <c r="AI319">
        <f t="shared" si="48"/>
        <v>2025</v>
      </c>
    </row>
    <row r="320" spans="1:35">
      <c r="A320" t="s">
        <v>1074</v>
      </c>
      <c r="B320" s="2">
        <v>45407</v>
      </c>
      <c r="C320" s="2">
        <v>45412</v>
      </c>
      <c r="D320" t="s">
        <v>1075</v>
      </c>
      <c r="E320" t="s">
        <v>50</v>
      </c>
      <c r="F320" t="s">
        <v>51</v>
      </c>
      <c r="G320" t="s">
        <v>68</v>
      </c>
      <c r="H320" t="s">
        <v>189</v>
      </c>
      <c r="I320" t="s">
        <v>190</v>
      </c>
      <c r="J320" t="s">
        <v>88</v>
      </c>
      <c r="K320" t="s">
        <v>185</v>
      </c>
      <c r="L320" t="s">
        <v>1076</v>
      </c>
      <c r="M320" t="s">
        <v>73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46</v>
      </c>
      <c r="U320" t="s">
        <v>47</v>
      </c>
      <c r="V320" t="str">
        <f t="shared" si="39"/>
        <v>Valid</v>
      </c>
      <c r="W320">
        <f t="shared" si="40"/>
        <v>5</v>
      </c>
      <c r="Y320" t="str">
        <f t="shared" si="41"/>
        <v>OK</v>
      </c>
      <c r="Z320" t="str">
        <f t="shared" si="42"/>
        <v>OK</v>
      </c>
      <c r="AA320" t="str">
        <f t="shared" si="43"/>
        <v>OK</v>
      </c>
      <c r="AB320" t="str">
        <f t="shared" si="44"/>
        <v>Valid</v>
      </c>
      <c r="AC320" t="str">
        <f>IF(OR(AB320="Invalid Discount",V320="Invalid Shipping"),
"Invalid",
IF(OR(Y320="Missing Region",
Z320="Missing Ship Mode",
AA320="Missing Discount",
X320="Flagged for Review"),
"Warning",
"Clean"))</f>
        <v>Clean</v>
      </c>
      <c r="AD320">
        <f t="shared" si="45"/>
        <v>0.1</v>
      </c>
      <c r="AE320">
        <f>N320*O320*(1-AD320)</f>
        <v>11203.542000000001</v>
      </c>
      <c r="AF320">
        <f>AE320-R320</f>
        <v>2750.612000000001</v>
      </c>
      <c r="AG320" s="3">
        <f t="shared" si="46"/>
        <v>0.24551271374713468</v>
      </c>
      <c r="AH320" t="str">
        <f t="shared" si="47"/>
        <v>April</v>
      </c>
      <c r="AI320">
        <f t="shared" si="48"/>
        <v>2024</v>
      </c>
    </row>
    <row r="321" spans="1:35">
      <c r="A321" t="s">
        <v>1077</v>
      </c>
      <c r="B321" s="2">
        <v>45525</v>
      </c>
      <c r="C321" s="2">
        <v>45529</v>
      </c>
      <c r="D321" t="s">
        <v>1078</v>
      </c>
      <c r="E321" t="s">
        <v>176</v>
      </c>
      <c r="F321" t="s">
        <v>38</v>
      </c>
      <c r="G321" t="s">
        <v>77</v>
      </c>
      <c r="H321" t="s">
        <v>194</v>
      </c>
      <c r="I321" t="s">
        <v>195</v>
      </c>
      <c r="J321" t="s">
        <v>42</v>
      </c>
      <c r="K321" t="s">
        <v>167</v>
      </c>
      <c r="L321" t="s">
        <v>1079</v>
      </c>
      <c r="M321" t="s">
        <v>64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46</v>
      </c>
      <c r="U321" t="s">
        <v>47</v>
      </c>
      <c r="V321" t="str">
        <f t="shared" si="39"/>
        <v>Valid</v>
      </c>
      <c r="W321">
        <f t="shared" si="40"/>
        <v>4</v>
      </c>
      <c r="Y321" t="str">
        <f t="shared" si="41"/>
        <v>OK</v>
      </c>
      <c r="Z321" t="str">
        <f t="shared" si="42"/>
        <v>OK</v>
      </c>
      <c r="AA321" t="str">
        <f t="shared" si="43"/>
        <v>OK</v>
      </c>
      <c r="AB321" t="str">
        <f t="shared" si="44"/>
        <v>Valid</v>
      </c>
      <c r="AC321" t="str">
        <f>IF(OR(AB321="Invalid Discount",V321="Invalid Shipping"),
"Invalid",
IF(OR(Y321="Missing Region",
Z321="Missing Ship Mode",
AA321="Missing Discount",
X321="Flagged for Review"),
"Warning",
"Clean"))</f>
        <v>Clean</v>
      </c>
      <c r="AD321">
        <f t="shared" si="45"/>
        <v>0</v>
      </c>
      <c r="AE321">
        <f>N321*O321*(1-AD321)</f>
        <v>270.27999999999997</v>
      </c>
      <c r="AF321">
        <f>AE321-R321</f>
        <v>113.93999999999997</v>
      </c>
      <c r="AG321" s="3">
        <f t="shared" si="46"/>
        <v>0.42156282373834536</v>
      </c>
      <c r="AH321" t="str">
        <f t="shared" si="47"/>
        <v>August</v>
      </c>
      <c r="AI321">
        <f t="shared" si="48"/>
        <v>2024</v>
      </c>
    </row>
    <row r="322" spans="1:35">
      <c r="A322" t="s">
        <v>1080</v>
      </c>
      <c r="B322" s="2">
        <v>45630</v>
      </c>
      <c r="C322" s="2">
        <v>45632</v>
      </c>
      <c r="D322" t="s">
        <v>1081</v>
      </c>
      <c r="E322" t="s">
        <v>142</v>
      </c>
      <c r="F322" t="s">
        <v>109</v>
      </c>
      <c r="G322" t="s">
        <v>52</v>
      </c>
      <c r="H322" t="s">
        <v>113</v>
      </c>
      <c r="I322" t="s">
        <v>114</v>
      </c>
      <c r="J322" t="s">
        <v>42</v>
      </c>
      <c r="K322" t="s">
        <v>62</v>
      </c>
      <c r="L322" t="s">
        <v>1082</v>
      </c>
      <c r="M322" t="s">
        <v>45</v>
      </c>
      <c r="N322">
        <v>3</v>
      </c>
      <c r="O322">
        <v>876.14</v>
      </c>
      <c r="P322">
        <v>0.7</v>
      </c>
      <c r="Q322">
        <v>2628.42</v>
      </c>
      <c r="R322">
        <v>1541.54</v>
      </c>
      <c r="S322">
        <v>1086.8800000000001</v>
      </c>
      <c r="T322" t="s">
        <v>125</v>
      </c>
      <c r="U322" t="s">
        <v>117</v>
      </c>
      <c r="V322" t="str">
        <f t="shared" si="39"/>
        <v>Valid</v>
      </c>
      <c r="W322">
        <f t="shared" si="40"/>
        <v>2</v>
      </c>
      <c r="Y322" t="str">
        <f t="shared" si="41"/>
        <v>OK</v>
      </c>
      <c r="Z322" t="str">
        <f t="shared" si="42"/>
        <v>OK</v>
      </c>
      <c r="AA322" t="str">
        <f t="shared" si="43"/>
        <v>OK</v>
      </c>
      <c r="AB322" t="str">
        <f t="shared" si="44"/>
        <v>Valid</v>
      </c>
      <c r="AC322" t="str">
        <f>IF(OR(AB322="Invalid Discount",V322="Invalid Shipping"),
"Invalid",
IF(OR(Y322="Missing Region",
Z322="Missing Ship Mode",
AA322="Missing Discount",
X322="Flagged for Review"),
"Warning",
"Clean"))</f>
        <v>Clean</v>
      </c>
      <c r="AD322">
        <v>0.7</v>
      </c>
      <c r="AE322">
        <f>N322*O322*(1-AD322)</f>
        <v>788.52600000000018</v>
      </c>
      <c r="AF322">
        <f>AE322-R322</f>
        <v>-753.01399999999978</v>
      </c>
      <c r="AG322" s="3">
        <f t="shared" si="46"/>
        <v>-0.95496407220560842</v>
      </c>
      <c r="AH322" t="str">
        <f t="shared" si="47"/>
        <v>December</v>
      </c>
      <c r="AI322">
        <f t="shared" si="48"/>
        <v>2024</v>
      </c>
    </row>
    <row r="323" spans="1:35">
      <c r="A323" t="s">
        <v>1083</v>
      </c>
      <c r="B323" s="2">
        <v>45466</v>
      </c>
      <c r="C323" s="2">
        <v>45473</v>
      </c>
      <c r="D323" t="s">
        <v>1084</v>
      </c>
      <c r="E323" t="s">
        <v>93</v>
      </c>
      <c r="F323" t="s">
        <v>51</v>
      </c>
      <c r="G323" t="s">
        <v>77</v>
      </c>
      <c r="H323" t="s">
        <v>204</v>
      </c>
      <c r="I323" t="s">
        <v>205</v>
      </c>
      <c r="J323" t="s">
        <v>88</v>
      </c>
      <c r="K323" t="s">
        <v>89</v>
      </c>
      <c r="L323" t="s">
        <v>1085</v>
      </c>
      <c r="M323" t="s">
        <v>58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169</v>
      </c>
      <c r="U323" t="s">
        <v>82</v>
      </c>
      <c r="V323" t="str">
        <f t="shared" ref="V323:V386" si="49">IF(C323&lt;B323,"Invalid Shipping","Valid")</f>
        <v>Valid</v>
      </c>
      <c r="W323">
        <f t="shared" ref="W323:W386" si="50">C323-B323</f>
        <v>7</v>
      </c>
      <c r="Y323" t="str">
        <f t="shared" ref="Y323:Y386" si="51">IF(G323="Unknown","Missing Region","OK")</f>
        <v>OK</v>
      </c>
      <c r="Z323" t="str">
        <f t="shared" ref="Z323:Z386" si="52">IF(M323="Unknown","Missing Ship Mode","OK")</f>
        <v>OK</v>
      </c>
      <c r="AA323" t="str">
        <f t="shared" ref="AA323:AA386" si="53">IF(P323="","Missing Discount","OK")</f>
        <v>OK</v>
      </c>
      <c r="AB323" t="str">
        <f t="shared" ref="AB323:AB386" si="54">IF(OR(P323&lt;0,P323&gt;1),"Invalid Discount","Valid")</f>
        <v>Valid</v>
      </c>
      <c r="AC323" t="str">
        <f>IF(OR(AB323="Invalid Discount",V323="Invalid Shipping"),
"Invalid",
IF(OR(Y323="Missing Region",
Z323="Missing Ship Mode",
AA323="Missing Discount",
X323="Flagged for Review"),
"Warning",
"Clean"))</f>
        <v>Clean</v>
      </c>
      <c r="AD323">
        <f t="shared" ref="AD323:AD386" si="55">IF(P323="",0,P323)</f>
        <v>0</v>
      </c>
      <c r="AE323">
        <f>N323*O323*(1-AD323)</f>
        <v>2699.28</v>
      </c>
      <c r="AF323">
        <f>AE323-R323</f>
        <v>939.52000000000021</v>
      </c>
      <c r="AG323" s="3">
        <f t="shared" ref="AG323:AG386" si="56">IF(AE323=0,0,AF323/AE323)</f>
        <v>0.34806318722029583</v>
      </c>
      <c r="AH323" t="str">
        <f t="shared" ref="AH323:AH386" si="57">TEXT(B323,"mmmm")</f>
        <v>June</v>
      </c>
      <c r="AI323">
        <f t="shared" ref="AI323:AI386" si="58">YEAR(B323)</f>
        <v>2024</v>
      </c>
    </row>
    <row r="324" spans="1:35">
      <c r="A324" t="s">
        <v>1086</v>
      </c>
      <c r="B324" s="2">
        <v>45608</v>
      </c>
      <c r="C324" s="2">
        <v>45608</v>
      </c>
      <c r="D324" t="s">
        <v>1087</v>
      </c>
      <c r="E324" t="s">
        <v>61</v>
      </c>
      <c r="F324" t="s">
        <v>38</v>
      </c>
      <c r="G324" t="s">
        <v>39</v>
      </c>
      <c r="H324" t="s">
        <v>150</v>
      </c>
      <c r="I324" t="s">
        <v>151</v>
      </c>
      <c r="J324" t="s">
        <v>88</v>
      </c>
      <c r="K324" t="s">
        <v>185</v>
      </c>
      <c r="L324" t="s">
        <v>1088</v>
      </c>
      <c r="M324" t="s">
        <v>45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46</v>
      </c>
      <c r="U324" t="s">
        <v>47</v>
      </c>
      <c r="V324" t="str">
        <f t="shared" si="49"/>
        <v>Valid</v>
      </c>
      <c r="W324">
        <f t="shared" si="50"/>
        <v>0</v>
      </c>
      <c r="Y324" t="str">
        <f t="shared" si="51"/>
        <v>OK</v>
      </c>
      <c r="Z324" t="str">
        <f t="shared" si="52"/>
        <v>OK</v>
      </c>
      <c r="AA324" t="str">
        <f t="shared" si="53"/>
        <v>OK</v>
      </c>
      <c r="AB324" t="str">
        <f t="shared" si="54"/>
        <v>Valid</v>
      </c>
      <c r="AC324" t="str">
        <f>IF(OR(AB324="Invalid Discount",V324="Invalid Shipping"),
"Invalid",
IF(OR(Y324="Missing Region",
Z324="Missing Ship Mode",
AA324="Missing Discount",
X324="Flagged for Review"),
"Warning",
"Clean"))</f>
        <v>Clean</v>
      </c>
      <c r="AD324">
        <f t="shared" si="55"/>
        <v>0.15</v>
      </c>
      <c r="AE324">
        <f>N324*O324*(1-AD324)</f>
        <v>6984.3480000000009</v>
      </c>
      <c r="AF324">
        <f>AE324-R324</f>
        <v>2960.7180000000008</v>
      </c>
      <c r="AG324" s="3">
        <f t="shared" si="56"/>
        <v>0.42390757161584736</v>
      </c>
      <c r="AH324" t="str">
        <f t="shared" si="57"/>
        <v>November</v>
      </c>
      <c r="AI324">
        <f t="shared" si="58"/>
        <v>2024</v>
      </c>
    </row>
    <row r="325" spans="1:35">
      <c r="A325" t="s">
        <v>1089</v>
      </c>
      <c r="B325" s="2">
        <v>45347</v>
      </c>
      <c r="C325" s="2">
        <v>45351</v>
      </c>
      <c r="D325" t="s">
        <v>1090</v>
      </c>
      <c r="E325" t="s">
        <v>61</v>
      </c>
      <c r="F325" t="s">
        <v>51</v>
      </c>
      <c r="G325" t="s">
        <v>77</v>
      </c>
      <c r="H325" t="s">
        <v>204</v>
      </c>
      <c r="I325" t="s">
        <v>205</v>
      </c>
      <c r="J325" t="s">
        <v>55</v>
      </c>
      <c r="K325" t="s">
        <v>71</v>
      </c>
      <c r="L325" t="s">
        <v>164</v>
      </c>
      <c r="M325" t="s">
        <v>73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46</v>
      </c>
      <c r="U325" t="s">
        <v>47</v>
      </c>
      <c r="V325" t="str">
        <f t="shared" si="49"/>
        <v>Valid</v>
      </c>
      <c r="W325">
        <f t="shared" si="50"/>
        <v>4</v>
      </c>
      <c r="Y325" t="str">
        <f t="shared" si="51"/>
        <v>OK</v>
      </c>
      <c r="Z325" t="str">
        <f t="shared" si="52"/>
        <v>OK</v>
      </c>
      <c r="AA325" t="str">
        <f t="shared" si="53"/>
        <v>OK</v>
      </c>
      <c r="AB325" t="str">
        <f t="shared" si="54"/>
        <v>Valid</v>
      </c>
      <c r="AC325" t="str">
        <f>IF(OR(AB325="Invalid Discount",V325="Invalid Shipping"),
"Invalid",
IF(OR(Y325="Missing Region",
Z325="Missing Ship Mode",
AA325="Missing Discount",
X325="Flagged for Review"),
"Warning",
"Clean"))</f>
        <v>Clean</v>
      </c>
      <c r="AD325">
        <f t="shared" si="55"/>
        <v>0.15</v>
      </c>
      <c r="AE325">
        <f>N325*O325*(1-AD325)</f>
        <v>10185.669</v>
      </c>
      <c r="AF325">
        <f>AE325-R325</f>
        <v>3706.3589999999995</v>
      </c>
      <c r="AG325" s="3">
        <f t="shared" si="56"/>
        <v>0.36387978050337189</v>
      </c>
      <c r="AH325" t="str">
        <f t="shared" si="57"/>
        <v>February</v>
      </c>
      <c r="AI325">
        <f t="shared" si="58"/>
        <v>2024</v>
      </c>
    </row>
    <row r="326" spans="1:35">
      <c r="A326" t="s">
        <v>1091</v>
      </c>
      <c r="B326" s="2">
        <v>45869</v>
      </c>
      <c r="C326" s="2">
        <v>45871</v>
      </c>
      <c r="D326" t="s">
        <v>1092</v>
      </c>
      <c r="E326" t="s">
        <v>155</v>
      </c>
      <c r="F326" t="s">
        <v>109</v>
      </c>
      <c r="G326" t="s">
        <v>68</v>
      </c>
      <c r="H326" t="s">
        <v>98</v>
      </c>
      <c r="I326" t="s">
        <v>99</v>
      </c>
      <c r="J326" t="s">
        <v>42</v>
      </c>
      <c r="K326" t="s">
        <v>105</v>
      </c>
      <c r="L326" t="s">
        <v>1093</v>
      </c>
      <c r="M326" t="s">
        <v>58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46</v>
      </c>
      <c r="U326" t="s">
        <v>117</v>
      </c>
      <c r="V326" t="str">
        <f t="shared" si="49"/>
        <v>Valid</v>
      </c>
      <c r="W326">
        <f t="shared" si="50"/>
        <v>2</v>
      </c>
      <c r="Y326" t="str">
        <f t="shared" si="51"/>
        <v>OK</v>
      </c>
      <c r="Z326" t="str">
        <f t="shared" si="52"/>
        <v>OK</v>
      </c>
      <c r="AA326" t="str">
        <f t="shared" si="53"/>
        <v>OK</v>
      </c>
      <c r="AB326" t="str">
        <f t="shared" si="54"/>
        <v>Valid</v>
      </c>
      <c r="AC326" t="str">
        <f>IF(OR(AB326="Invalid Discount",V326="Invalid Shipping"),
"Invalid",
IF(OR(Y326="Missing Region",
Z326="Missing Ship Mode",
AA326="Missing Discount",
X326="Flagged for Review"),
"Warning",
"Clean"))</f>
        <v>Clean</v>
      </c>
      <c r="AD326">
        <f t="shared" si="55"/>
        <v>0.15</v>
      </c>
      <c r="AE326">
        <f>N326*O326*(1-AD326)</f>
        <v>1655.6980000000001</v>
      </c>
      <c r="AF326">
        <f>AE326-R326</f>
        <v>300.89800000000014</v>
      </c>
      <c r="AG326" s="3">
        <f t="shared" si="56"/>
        <v>0.1817348332848141</v>
      </c>
      <c r="AH326" t="str">
        <f t="shared" si="57"/>
        <v>July</v>
      </c>
      <c r="AI326">
        <f t="shared" si="58"/>
        <v>2025</v>
      </c>
    </row>
    <row r="327" spans="1:35">
      <c r="A327" t="s">
        <v>1094</v>
      </c>
      <c r="B327" s="2">
        <v>45916</v>
      </c>
      <c r="C327" s="2">
        <v>45922</v>
      </c>
      <c r="D327" t="s">
        <v>1095</v>
      </c>
      <c r="E327" t="s">
        <v>146</v>
      </c>
      <c r="F327" t="s">
        <v>109</v>
      </c>
      <c r="G327" t="s">
        <v>52</v>
      </c>
      <c r="H327" t="s">
        <v>113</v>
      </c>
      <c r="I327" t="s">
        <v>114</v>
      </c>
      <c r="J327" t="s">
        <v>88</v>
      </c>
      <c r="K327" t="s">
        <v>94</v>
      </c>
      <c r="L327" t="s">
        <v>1096</v>
      </c>
      <c r="M327" t="s">
        <v>45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46</v>
      </c>
      <c r="U327" t="s">
        <v>47</v>
      </c>
      <c r="V327" t="str">
        <f t="shared" si="49"/>
        <v>Valid</v>
      </c>
      <c r="W327">
        <f t="shared" si="50"/>
        <v>6</v>
      </c>
      <c r="Y327" t="str">
        <f t="shared" si="51"/>
        <v>OK</v>
      </c>
      <c r="Z327" t="str">
        <f t="shared" si="52"/>
        <v>OK</v>
      </c>
      <c r="AA327" t="str">
        <f t="shared" si="53"/>
        <v>OK</v>
      </c>
      <c r="AB327" t="str">
        <f t="shared" si="54"/>
        <v>Valid</v>
      </c>
      <c r="AC327" t="str">
        <f>IF(OR(AB327="Invalid Discount",V327="Invalid Shipping"),
"Invalid",
IF(OR(Y327="Missing Region",
Z327="Missing Ship Mode",
AA327="Missing Discount",
X327="Flagged for Review"),
"Warning",
"Clean"))</f>
        <v>Clean</v>
      </c>
      <c r="AD327">
        <f t="shared" si="55"/>
        <v>0.15</v>
      </c>
      <c r="AE327">
        <f>N327*O327*(1-AD327)</f>
        <v>15602.6</v>
      </c>
      <c r="AF327">
        <f>AE327-R327</f>
        <v>3694.08</v>
      </c>
      <c r="AG327" s="3">
        <f t="shared" si="56"/>
        <v>0.236760539910015</v>
      </c>
      <c r="AH327" t="str">
        <f t="shared" si="57"/>
        <v>September</v>
      </c>
      <c r="AI327">
        <f t="shared" si="58"/>
        <v>2025</v>
      </c>
    </row>
    <row r="328" spans="1:35">
      <c r="A328" t="s">
        <v>1097</v>
      </c>
      <c r="B328" s="2">
        <v>45860</v>
      </c>
      <c r="C328" s="2">
        <v>45860</v>
      </c>
      <c r="D328" t="s">
        <v>1098</v>
      </c>
      <c r="E328" t="s">
        <v>146</v>
      </c>
      <c r="F328" t="s">
        <v>104</v>
      </c>
      <c r="G328" t="s">
        <v>52</v>
      </c>
      <c r="H328" t="s">
        <v>243</v>
      </c>
      <c r="I328" t="s">
        <v>244</v>
      </c>
      <c r="J328" t="s">
        <v>55</v>
      </c>
      <c r="K328" t="s">
        <v>71</v>
      </c>
      <c r="L328" t="s">
        <v>1099</v>
      </c>
      <c r="M328" t="s">
        <v>58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46</v>
      </c>
      <c r="U328" t="s">
        <v>47</v>
      </c>
      <c r="V328" t="str">
        <f t="shared" si="49"/>
        <v>Valid</v>
      </c>
      <c r="W328">
        <f t="shared" si="50"/>
        <v>0</v>
      </c>
      <c r="Y328" t="str">
        <f t="shared" si="51"/>
        <v>OK</v>
      </c>
      <c r="Z328" t="str">
        <f t="shared" si="52"/>
        <v>OK</v>
      </c>
      <c r="AA328" t="str">
        <f t="shared" si="53"/>
        <v>OK</v>
      </c>
      <c r="AB328" t="str">
        <f t="shared" si="54"/>
        <v>Valid</v>
      </c>
      <c r="AC328" t="str">
        <f>IF(OR(AB328="Invalid Discount",V328="Invalid Shipping"),
"Invalid",
IF(OR(Y328="Missing Region",
Z328="Missing Ship Mode",
AA328="Missing Discount",
X328="Flagged for Review"),
"Warning",
"Clean"))</f>
        <v>Clean</v>
      </c>
      <c r="AD328">
        <f t="shared" si="55"/>
        <v>0.05</v>
      </c>
      <c r="AE328">
        <f>N328*O328*(1-AD328)</f>
        <v>15138.487499999999</v>
      </c>
      <c r="AF328">
        <f>AE328-R328</f>
        <v>3902.7674999999999</v>
      </c>
      <c r="AG328" s="3">
        <f t="shared" si="56"/>
        <v>0.25780432160082045</v>
      </c>
      <c r="AH328" t="str">
        <f t="shared" si="57"/>
        <v>July</v>
      </c>
      <c r="AI328">
        <f t="shared" si="58"/>
        <v>2025</v>
      </c>
    </row>
    <row r="329" spans="1:35">
      <c r="A329" t="s">
        <v>1100</v>
      </c>
      <c r="B329" s="2">
        <v>45497</v>
      </c>
      <c r="C329" s="2">
        <v>45500</v>
      </c>
      <c r="D329" t="s">
        <v>1101</v>
      </c>
      <c r="E329" t="s">
        <v>61</v>
      </c>
      <c r="F329" t="s">
        <v>38</v>
      </c>
      <c r="G329" t="s">
        <v>77</v>
      </c>
      <c r="H329" t="s">
        <v>40</v>
      </c>
      <c r="I329" t="s">
        <v>123</v>
      </c>
      <c r="J329" t="s">
        <v>88</v>
      </c>
      <c r="K329" t="s">
        <v>89</v>
      </c>
      <c r="L329" t="s">
        <v>1102</v>
      </c>
      <c r="M329" t="s">
        <v>45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125</v>
      </c>
      <c r="U329" t="s">
        <v>82</v>
      </c>
      <c r="V329" t="str">
        <f t="shared" si="49"/>
        <v>Valid</v>
      </c>
      <c r="W329">
        <f t="shared" si="50"/>
        <v>3</v>
      </c>
      <c r="Y329" t="str">
        <f t="shared" si="51"/>
        <v>OK</v>
      </c>
      <c r="Z329" t="str">
        <f t="shared" si="52"/>
        <v>OK</v>
      </c>
      <c r="AA329" t="str">
        <f t="shared" si="53"/>
        <v>OK</v>
      </c>
      <c r="AB329" t="str">
        <f t="shared" si="54"/>
        <v>Valid</v>
      </c>
      <c r="AC329" t="str">
        <f>IF(OR(AB329="Invalid Discount",V329="Invalid Shipping"),
"Invalid",
IF(OR(Y329="Missing Region",
Z329="Missing Ship Mode",
AA329="Missing Discount",
X329="Flagged for Review"),
"Warning",
"Clean"))</f>
        <v>Clean</v>
      </c>
      <c r="AD329">
        <f t="shared" si="55"/>
        <v>0.2</v>
      </c>
      <c r="AE329">
        <f>N329*O329*(1-AD329)</f>
        <v>4402.92</v>
      </c>
      <c r="AF329">
        <f>AE329-R329</f>
        <v>1408.98</v>
      </c>
      <c r="AG329" s="3">
        <f t="shared" si="56"/>
        <v>0.32001035676323897</v>
      </c>
      <c r="AH329" t="str">
        <f t="shared" si="57"/>
        <v>July</v>
      </c>
      <c r="AI329">
        <f t="shared" si="58"/>
        <v>2024</v>
      </c>
    </row>
    <row r="330" spans="1:35">
      <c r="A330" t="s">
        <v>1103</v>
      </c>
      <c r="B330" s="2">
        <v>45806</v>
      </c>
      <c r="C330" s="2">
        <v>45812</v>
      </c>
      <c r="D330" t="s">
        <v>1104</v>
      </c>
      <c r="E330" t="s">
        <v>176</v>
      </c>
      <c r="F330" t="s">
        <v>38</v>
      </c>
      <c r="G330" t="s">
        <v>77</v>
      </c>
      <c r="H330" t="s">
        <v>78</v>
      </c>
      <c r="I330" t="s">
        <v>79</v>
      </c>
      <c r="J330" t="s">
        <v>42</v>
      </c>
      <c r="K330" t="s">
        <v>138</v>
      </c>
      <c r="L330" t="s">
        <v>1105</v>
      </c>
      <c r="M330" t="s">
        <v>64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46</v>
      </c>
      <c r="U330" t="s">
        <v>47</v>
      </c>
      <c r="V330" t="str">
        <f t="shared" si="49"/>
        <v>Valid</v>
      </c>
      <c r="W330">
        <f t="shared" si="50"/>
        <v>6</v>
      </c>
      <c r="Y330" t="str">
        <f t="shared" si="51"/>
        <v>OK</v>
      </c>
      <c r="Z330" t="str">
        <f t="shared" si="52"/>
        <v>OK</v>
      </c>
      <c r="AA330" t="str">
        <f t="shared" si="53"/>
        <v>OK</v>
      </c>
      <c r="AB330" t="str">
        <f t="shared" si="54"/>
        <v>Valid</v>
      </c>
      <c r="AC330" t="str">
        <f>IF(OR(AB330="Invalid Discount",V330="Invalid Shipping"),
"Invalid",
IF(OR(Y330="Missing Region",
Z330="Missing Ship Mode",
AA330="Missing Discount",
X330="Flagged for Review"),
"Warning",
"Clean"))</f>
        <v>Clean</v>
      </c>
      <c r="AD330">
        <f t="shared" si="55"/>
        <v>0</v>
      </c>
      <c r="AE330">
        <f>N330*O330*(1-AD330)</f>
        <v>18604.079999999998</v>
      </c>
      <c r="AF330">
        <f>AE330-R330</f>
        <v>2769.7799999999988</v>
      </c>
      <c r="AG330" s="3">
        <f t="shared" si="56"/>
        <v>0.1488802456235406</v>
      </c>
      <c r="AH330" t="str">
        <f t="shared" si="57"/>
        <v>May</v>
      </c>
      <c r="AI330">
        <f t="shared" si="58"/>
        <v>2025</v>
      </c>
    </row>
    <row r="331" spans="1:35">
      <c r="A331" t="s">
        <v>1106</v>
      </c>
      <c r="B331" s="2">
        <v>45789</v>
      </c>
      <c r="C331" s="2">
        <v>45795</v>
      </c>
      <c r="D331" t="s">
        <v>1107</v>
      </c>
      <c r="E331" t="s">
        <v>93</v>
      </c>
      <c r="F331" t="s">
        <v>51</v>
      </c>
      <c r="G331" t="s">
        <v>77</v>
      </c>
      <c r="H331" t="s">
        <v>78</v>
      </c>
      <c r="I331" t="s">
        <v>79</v>
      </c>
      <c r="J331" t="s">
        <v>42</v>
      </c>
      <c r="K331" t="s">
        <v>138</v>
      </c>
      <c r="L331" t="s">
        <v>1108</v>
      </c>
      <c r="M331" t="s">
        <v>73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46</v>
      </c>
      <c r="U331" t="s">
        <v>47</v>
      </c>
      <c r="V331" t="str">
        <f t="shared" si="49"/>
        <v>Valid</v>
      </c>
      <c r="W331">
        <f t="shared" si="50"/>
        <v>6</v>
      </c>
      <c r="Y331" t="str">
        <f t="shared" si="51"/>
        <v>OK</v>
      </c>
      <c r="Z331" t="str">
        <f t="shared" si="52"/>
        <v>OK</v>
      </c>
      <c r="AA331" t="str">
        <f t="shared" si="53"/>
        <v>OK</v>
      </c>
      <c r="AB331" t="str">
        <f t="shared" si="54"/>
        <v>Valid</v>
      </c>
      <c r="AC331" t="str">
        <f>IF(OR(AB331="Invalid Discount",V331="Invalid Shipping"),
"Invalid",
IF(OR(Y331="Missing Region",
Z331="Missing Ship Mode",
AA331="Missing Discount",
X331="Flagged for Review"),
"Warning",
"Clean"))</f>
        <v>Clean</v>
      </c>
      <c r="AD331">
        <f t="shared" si="55"/>
        <v>0.05</v>
      </c>
      <c r="AE331">
        <f>N331*O331*(1-AD331)</f>
        <v>15401.513999999999</v>
      </c>
      <c r="AF331">
        <f>AE331-R331</f>
        <v>6751.0939999999991</v>
      </c>
      <c r="AG331" s="3">
        <f t="shared" si="56"/>
        <v>0.43833963336331738</v>
      </c>
      <c r="AH331" t="str">
        <f t="shared" si="57"/>
        <v>May</v>
      </c>
      <c r="AI331">
        <f t="shared" si="58"/>
        <v>2025</v>
      </c>
    </row>
    <row r="332" spans="1:35">
      <c r="A332" t="s">
        <v>1109</v>
      </c>
      <c r="B332" s="2">
        <v>45428</v>
      </c>
      <c r="C332" s="2">
        <v>45436</v>
      </c>
      <c r="D332" t="s">
        <v>1110</v>
      </c>
      <c r="E332" t="s">
        <v>67</v>
      </c>
      <c r="F332" t="s">
        <v>109</v>
      </c>
      <c r="G332" t="s">
        <v>39</v>
      </c>
      <c r="H332" t="s">
        <v>136</v>
      </c>
      <c r="I332" t="s">
        <v>137</v>
      </c>
      <c r="J332" t="s">
        <v>88</v>
      </c>
      <c r="K332" t="s">
        <v>89</v>
      </c>
      <c r="L332" t="s">
        <v>1111</v>
      </c>
      <c r="M332" t="s">
        <v>58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169</v>
      </c>
      <c r="U332" t="s">
        <v>82</v>
      </c>
      <c r="V332" t="str">
        <f t="shared" si="49"/>
        <v>Valid</v>
      </c>
      <c r="W332">
        <f t="shared" si="50"/>
        <v>8</v>
      </c>
      <c r="Y332" t="str">
        <f t="shared" si="51"/>
        <v>OK</v>
      </c>
      <c r="Z332" t="str">
        <f t="shared" si="52"/>
        <v>OK</v>
      </c>
      <c r="AA332" t="str">
        <f t="shared" si="53"/>
        <v>OK</v>
      </c>
      <c r="AB332" t="str">
        <f t="shared" si="54"/>
        <v>Valid</v>
      </c>
      <c r="AC332" t="str">
        <f>IF(OR(AB332="Invalid Discount",V332="Invalid Shipping"),
"Invalid",
IF(OR(Y332="Missing Region",
Z332="Missing Ship Mode",
AA332="Missing Discount",
X332="Flagged for Review"),
"Warning",
"Clean"))</f>
        <v>Clean</v>
      </c>
      <c r="AD332">
        <f t="shared" si="55"/>
        <v>0</v>
      </c>
      <c r="AE332">
        <f>N332*O332*(1-AD332)</f>
        <v>783.09</v>
      </c>
      <c r="AF332">
        <f>AE332-R332</f>
        <v>279.20000000000005</v>
      </c>
      <c r="AG332" s="3">
        <f t="shared" si="56"/>
        <v>0.3565362857398256</v>
      </c>
      <c r="AH332" t="str">
        <f t="shared" si="57"/>
        <v>May</v>
      </c>
      <c r="AI332">
        <f t="shared" si="58"/>
        <v>2024</v>
      </c>
    </row>
    <row r="333" spans="1:35">
      <c r="A333" t="s">
        <v>1112</v>
      </c>
      <c r="B333" s="2">
        <v>45630</v>
      </c>
      <c r="C333" s="2">
        <v>45632</v>
      </c>
      <c r="D333" t="s">
        <v>1113</v>
      </c>
      <c r="E333" t="s">
        <v>146</v>
      </c>
      <c r="F333" t="s">
        <v>109</v>
      </c>
      <c r="G333" t="s">
        <v>52</v>
      </c>
      <c r="H333" t="s">
        <v>53</v>
      </c>
      <c r="I333" t="s">
        <v>54</v>
      </c>
      <c r="J333" t="s">
        <v>42</v>
      </c>
      <c r="K333" t="s">
        <v>167</v>
      </c>
      <c r="L333" t="s">
        <v>1114</v>
      </c>
      <c r="M333" t="s">
        <v>45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46</v>
      </c>
      <c r="U333" t="s">
        <v>117</v>
      </c>
      <c r="V333" t="str">
        <f t="shared" si="49"/>
        <v>Valid</v>
      </c>
      <c r="W333">
        <f t="shared" si="50"/>
        <v>2</v>
      </c>
      <c r="X333" t="s">
        <v>398</v>
      </c>
      <c r="Y333" t="str">
        <f t="shared" si="51"/>
        <v>OK</v>
      </c>
      <c r="Z333" t="str">
        <f t="shared" si="52"/>
        <v>OK</v>
      </c>
      <c r="AA333" t="str">
        <f t="shared" si="53"/>
        <v>OK</v>
      </c>
      <c r="AB333" t="str">
        <f t="shared" si="54"/>
        <v>Valid</v>
      </c>
      <c r="AC333" t="str">
        <f>IF(OR(AB333="Invalid Discount",V333="Invalid Shipping"),
"Invalid",
IF(OR(Y333="Missing Region",
Z333="Missing Ship Mode",
AA333="Missing Discount",
X333="Flagged for Review"),
"Warning",
"Clean"))</f>
        <v>Warning</v>
      </c>
      <c r="AD333">
        <f t="shared" si="55"/>
        <v>0</v>
      </c>
      <c r="AE333">
        <f>N333*O333*(1-AD333)</f>
        <v>10742.64</v>
      </c>
      <c r="AF333">
        <f>AE333-R333</f>
        <v>4265.2699999999995</v>
      </c>
      <c r="AG333" s="3">
        <f t="shared" si="56"/>
        <v>0.39704113700170535</v>
      </c>
      <c r="AH333" t="str">
        <f t="shared" si="57"/>
        <v>December</v>
      </c>
      <c r="AI333">
        <f t="shared" si="58"/>
        <v>2024</v>
      </c>
    </row>
    <row r="334" spans="1:35">
      <c r="A334" t="s">
        <v>1115</v>
      </c>
      <c r="B334" s="2">
        <v>45804</v>
      </c>
      <c r="C334" s="2">
        <v>45805</v>
      </c>
      <c r="D334" t="s">
        <v>1116</v>
      </c>
      <c r="E334" t="s">
        <v>142</v>
      </c>
      <c r="F334" t="s">
        <v>38</v>
      </c>
      <c r="G334" t="s">
        <v>68</v>
      </c>
      <c r="H334" t="s">
        <v>98</v>
      </c>
      <c r="I334" t="s">
        <v>99</v>
      </c>
      <c r="J334" t="s">
        <v>88</v>
      </c>
      <c r="K334" t="s">
        <v>289</v>
      </c>
      <c r="L334" t="s">
        <v>1117</v>
      </c>
      <c r="M334" t="s">
        <v>45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46</v>
      </c>
      <c r="U334" t="s">
        <v>47</v>
      </c>
      <c r="V334" t="str">
        <f t="shared" si="49"/>
        <v>Valid</v>
      </c>
      <c r="W334">
        <f t="shared" si="50"/>
        <v>1</v>
      </c>
      <c r="Y334" t="str">
        <f t="shared" si="51"/>
        <v>OK</v>
      </c>
      <c r="Z334" t="str">
        <f t="shared" si="52"/>
        <v>OK</v>
      </c>
      <c r="AA334" t="str">
        <f t="shared" si="53"/>
        <v>OK</v>
      </c>
      <c r="AB334" t="str">
        <f t="shared" si="54"/>
        <v>Valid</v>
      </c>
      <c r="AC334" t="str">
        <f>IF(OR(AB334="Invalid Discount",V334="Invalid Shipping"),
"Invalid",
IF(OR(Y334="Missing Region",
Z334="Missing Ship Mode",
AA334="Missing Discount",
X334="Flagged for Review"),
"Warning",
"Clean"))</f>
        <v>Clean</v>
      </c>
      <c r="AD334">
        <f t="shared" si="55"/>
        <v>0</v>
      </c>
      <c r="AE334">
        <f>N334*O334*(1-AD334)</f>
        <v>7823.92</v>
      </c>
      <c r="AF334">
        <f>AE334-R334</f>
        <v>1789.29</v>
      </c>
      <c r="AG334" s="3">
        <f t="shared" si="56"/>
        <v>0.22869482305545047</v>
      </c>
      <c r="AH334" t="str">
        <f t="shared" si="57"/>
        <v>May</v>
      </c>
      <c r="AI334">
        <f t="shared" si="58"/>
        <v>2025</v>
      </c>
    </row>
    <row r="335" spans="1:35">
      <c r="A335" t="s">
        <v>1118</v>
      </c>
      <c r="B335" s="2">
        <v>45830</v>
      </c>
      <c r="C335" s="2">
        <v>45835</v>
      </c>
      <c r="D335" t="s">
        <v>1119</v>
      </c>
      <c r="E335" t="s">
        <v>155</v>
      </c>
      <c r="F335" t="s">
        <v>109</v>
      </c>
      <c r="G335" t="s">
        <v>219</v>
      </c>
      <c r="H335" t="s">
        <v>365</v>
      </c>
      <c r="I335" t="s">
        <v>366</v>
      </c>
      <c r="J335" t="s">
        <v>88</v>
      </c>
      <c r="K335" t="s">
        <v>185</v>
      </c>
      <c r="L335" t="s">
        <v>1120</v>
      </c>
      <c r="M335" t="s">
        <v>64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46</v>
      </c>
      <c r="U335" t="s">
        <v>47</v>
      </c>
      <c r="V335" t="str">
        <f t="shared" si="49"/>
        <v>Valid</v>
      </c>
      <c r="W335">
        <f t="shared" si="50"/>
        <v>5</v>
      </c>
      <c r="Y335" t="str">
        <f t="shared" si="51"/>
        <v>Missing Region</v>
      </c>
      <c r="Z335" t="str">
        <f t="shared" si="52"/>
        <v>OK</v>
      </c>
      <c r="AA335" t="str">
        <f t="shared" si="53"/>
        <v>OK</v>
      </c>
      <c r="AB335" t="str">
        <f t="shared" si="54"/>
        <v>Valid</v>
      </c>
      <c r="AC335" t="str">
        <f>IF(OR(AB335="Invalid Discount",V335="Invalid Shipping"),
"Invalid",
IF(OR(Y335="Missing Region",
Z335="Missing Ship Mode",
AA335="Missing Discount",
X335="Flagged for Review"),
"Warning",
"Clean"))</f>
        <v>Warning</v>
      </c>
      <c r="AD335">
        <f t="shared" si="55"/>
        <v>0</v>
      </c>
      <c r="AE335">
        <f>N335*O335*(1-AD335)</f>
        <v>2936.1</v>
      </c>
      <c r="AF335">
        <f>AE335-R335</f>
        <v>1013</v>
      </c>
      <c r="AG335" s="3">
        <f t="shared" si="56"/>
        <v>0.34501549674738602</v>
      </c>
      <c r="AH335" t="str">
        <f t="shared" si="57"/>
        <v>June</v>
      </c>
      <c r="AI335">
        <f t="shared" si="58"/>
        <v>2025</v>
      </c>
    </row>
    <row r="336" spans="1:35">
      <c r="A336" t="s">
        <v>1121</v>
      </c>
      <c r="B336" s="2">
        <v>45547</v>
      </c>
      <c r="C336" s="2">
        <v>45552</v>
      </c>
      <c r="D336" t="s">
        <v>1122</v>
      </c>
      <c r="E336" t="s">
        <v>76</v>
      </c>
      <c r="F336" t="s">
        <v>38</v>
      </c>
      <c r="G336" t="s">
        <v>52</v>
      </c>
      <c r="H336" t="s">
        <v>243</v>
      </c>
      <c r="I336" t="s">
        <v>244</v>
      </c>
      <c r="J336" t="s">
        <v>42</v>
      </c>
      <c r="K336" t="s">
        <v>138</v>
      </c>
      <c r="L336" t="s">
        <v>1123</v>
      </c>
      <c r="M336" t="s">
        <v>64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46</v>
      </c>
      <c r="U336" t="s">
        <v>47</v>
      </c>
      <c r="V336" t="str">
        <f t="shared" si="49"/>
        <v>Valid</v>
      </c>
      <c r="W336">
        <f t="shared" si="50"/>
        <v>5</v>
      </c>
      <c r="Y336" t="str">
        <f t="shared" si="51"/>
        <v>OK</v>
      </c>
      <c r="Z336" t="str">
        <f t="shared" si="52"/>
        <v>OK</v>
      </c>
      <c r="AA336" t="str">
        <f t="shared" si="53"/>
        <v>OK</v>
      </c>
      <c r="AB336" t="str">
        <f t="shared" si="54"/>
        <v>Valid</v>
      </c>
      <c r="AC336" t="str">
        <f>IF(OR(AB336="Invalid Discount",V336="Invalid Shipping"),
"Invalid",
IF(OR(Y336="Missing Region",
Z336="Missing Ship Mode",
AA336="Missing Discount",
X336="Flagged for Review"),
"Warning",
"Clean"))</f>
        <v>Clean</v>
      </c>
      <c r="AD336">
        <f t="shared" si="55"/>
        <v>0.25</v>
      </c>
      <c r="AE336">
        <f>N336*O336*(1-AD336)</f>
        <v>12969.922500000001</v>
      </c>
      <c r="AF336">
        <f>AE336-R336</f>
        <v>3571.4625000000015</v>
      </c>
      <c r="AG336" s="3">
        <f t="shared" si="56"/>
        <v>0.27536498386941027</v>
      </c>
      <c r="AH336" t="str">
        <f t="shared" si="57"/>
        <v>September</v>
      </c>
      <c r="AI336">
        <f t="shared" si="58"/>
        <v>2024</v>
      </c>
    </row>
    <row r="337" spans="1:35">
      <c r="A337" t="s">
        <v>1124</v>
      </c>
      <c r="B337" s="2">
        <v>45824</v>
      </c>
      <c r="C337" s="2">
        <v>45826</v>
      </c>
      <c r="D337" t="s">
        <v>1125</v>
      </c>
      <c r="E337" t="s">
        <v>132</v>
      </c>
      <c r="F337" t="s">
        <v>109</v>
      </c>
      <c r="G337" t="s">
        <v>77</v>
      </c>
      <c r="H337" t="s">
        <v>86</v>
      </c>
      <c r="I337" t="s">
        <v>87</v>
      </c>
      <c r="J337" t="s">
        <v>42</v>
      </c>
      <c r="K337" t="s">
        <v>43</v>
      </c>
      <c r="L337" t="s">
        <v>1126</v>
      </c>
      <c r="M337" t="s">
        <v>64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46</v>
      </c>
      <c r="U337" t="s">
        <v>47</v>
      </c>
      <c r="V337" t="str">
        <f t="shared" si="49"/>
        <v>Valid</v>
      </c>
      <c r="W337">
        <f t="shared" si="50"/>
        <v>2</v>
      </c>
      <c r="X337" t="s">
        <v>398</v>
      </c>
      <c r="Y337" t="str">
        <f t="shared" si="51"/>
        <v>OK</v>
      </c>
      <c r="Z337" t="str">
        <f t="shared" si="52"/>
        <v>OK</v>
      </c>
      <c r="AA337" t="str">
        <f t="shared" si="53"/>
        <v>OK</v>
      </c>
      <c r="AB337" t="str">
        <f t="shared" si="54"/>
        <v>Valid</v>
      </c>
      <c r="AC337" t="str">
        <f>IF(OR(AB337="Invalid Discount",V337="Invalid Shipping"),
"Invalid",
IF(OR(Y337="Missing Region",
Z337="Missing Ship Mode",
AA337="Missing Discount",
X337="Flagged for Review"),
"Warning",
"Clean"))</f>
        <v>Warning</v>
      </c>
      <c r="AD337">
        <f t="shared" si="55"/>
        <v>0.1</v>
      </c>
      <c r="AE337">
        <f>N337*O337*(1-AD337)</f>
        <v>11581.299000000001</v>
      </c>
      <c r="AF337">
        <f>AE337-R337</f>
        <v>4751.8690000000006</v>
      </c>
      <c r="AG337" s="3">
        <f t="shared" si="56"/>
        <v>0.41030535521101735</v>
      </c>
      <c r="AH337" t="str">
        <f t="shared" si="57"/>
        <v>June</v>
      </c>
      <c r="AI337">
        <f t="shared" si="58"/>
        <v>2025</v>
      </c>
    </row>
    <row r="338" spans="1:35">
      <c r="A338" t="s">
        <v>1127</v>
      </c>
      <c r="B338" s="2">
        <v>45368</v>
      </c>
      <c r="C338" s="2">
        <v>45372</v>
      </c>
      <c r="D338" t="s">
        <v>879</v>
      </c>
      <c r="E338" t="s">
        <v>142</v>
      </c>
      <c r="F338" t="s">
        <v>38</v>
      </c>
      <c r="G338" t="s">
        <v>39</v>
      </c>
      <c r="H338" t="s">
        <v>40</v>
      </c>
      <c r="I338" t="s">
        <v>41</v>
      </c>
      <c r="J338" t="s">
        <v>88</v>
      </c>
      <c r="K338" t="s">
        <v>94</v>
      </c>
      <c r="L338" t="s">
        <v>1128</v>
      </c>
      <c r="M338" t="s">
        <v>64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46</v>
      </c>
      <c r="U338" t="s">
        <v>47</v>
      </c>
      <c r="V338" t="str">
        <f t="shared" si="49"/>
        <v>Valid</v>
      </c>
      <c r="W338">
        <f t="shared" si="50"/>
        <v>4</v>
      </c>
      <c r="Y338" t="str">
        <f t="shared" si="51"/>
        <v>OK</v>
      </c>
      <c r="Z338" t="str">
        <f t="shared" si="52"/>
        <v>OK</v>
      </c>
      <c r="AA338" t="str">
        <f t="shared" si="53"/>
        <v>OK</v>
      </c>
      <c r="AB338" t="str">
        <f t="shared" si="54"/>
        <v>Valid</v>
      </c>
      <c r="AC338" t="str">
        <f>IF(OR(AB338="Invalid Discount",V338="Invalid Shipping"),
"Invalid",
IF(OR(Y338="Missing Region",
Z338="Missing Ship Mode",
AA338="Missing Discount",
X338="Flagged for Review"),
"Warning",
"Clean"))</f>
        <v>Clean</v>
      </c>
      <c r="AD338">
        <f t="shared" si="55"/>
        <v>0</v>
      </c>
      <c r="AE338">
        <f>N338*O338*(1-AD338)</f>
        <v>15940.56</v>
      </c>
      <c r="AF338">
        <f>AE338-R338</f>
        <v>3593.41</v>
      </c>
      <c r="AG338" s="3">
        <f t="shared" si="56"/>
        <v>0.2254255810335396</v>
      </c>
      <c r="AH338" t="str">
        <f t="shared" si="57"/>
        <v>March</v>
      </c>
      <c r="AI338">
        <f t="shared" si="58"/>
        <v>2024</v>
      </c>
    </row>
    <row r="339" spans="1:35">
      <c r="A339" t="s">
        <v>1129</v>
      </c>
      <c r="B339" s="2">
        <v>45516</v>
      </c>
      <c r="C339" s="2">
        <v>45522</v>
      </c>
      <c r="D339" t="s">
        <v>1130</v>
      </c>
      <c r="E339" t="s">
        <v>76</v>
      </c>
      <c r="F339" t="s">
        <v>38</v>
      </c>
      <c r="G339" t="s">
        <v>52</v>
      </c>
      <c r="H339" t="s">
        <v>180</v>
      </c>
      <c r="I339" t="s">
        <v>181</v>
      </c>
      <c r="J339" t="s">
        <v>42</v>
      </c>
      <c r="K339" t="s">
        <v>105</v>
      </c>
      <c r="L339" t="s">
        <v>1131</v>
      </c>
      <c r="M339" t="s">
        <v>58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46</v>
      </c>
      <c r="U339" t="s">
        <v>47</v>
      </c>
      <c r="V339" t="str">
        <f t="shared" si="49"/>
        <v>Valid</v>
      </c>
      <c r="W339">
        <f t="shared" si="50"/>
        <v>6</v>
      </c>
      <c r="Y339" t="str">
        <f t="shared" si="51"/>
        <v>OK</v>
      </c>
      <c r="Z339" t="str">
        <f t="shared" si="52"/>
        <v>OK</v>
      </c>
      <c r="AA339" t="str">
        <f t="shared" si="53"/>
        <v>OK</v>
      </c>
      <c r="AB339" t="str">
        <f t="shared" si="54"/>
        <v>Valid</v>
      </c>
      <c r="AC339" t="str">
        <f>IF(OR(AB339="Invalid Discount",V339="Invalid Shipping"),
"Invalid",
IF(OR(Y339="Missing Region",
Z339="Missing Ship Mode",
AA339="Missing Discount",
X339="Flagged for Review"),
"Warning",
"Clean"))</f>
        <v>Clean</v>
      </c>
      <c r="AD339">
        <f t="shared" si="55"/>
        <v>0</v>
      </c>
      <c r="AE339">
        <f>N339*O339*(1-AD339)</f>
        <v>7090.4400000000005</v>
      </c>
      <c r="AF339">
        <f>AE339-R339</f>
        <v>1418.17</v>
      </c>
      <c r="AG339" s="3">
        <f t="shared" si="56"/>
        <v>0.20001156486762456</v>
      </c>
      <c r="AH339" t="str">
        <f t="shared" si="57"/>
        <v>August</v>
      </c>
      <c r="AI339">
        <f t="shared" si="58"/>
        <v>2024</v>
      </c>
    </row>
    <row r="340" spans="1:35">
      <c r="A340" t="s">
        <v>1132</v>
      </c>
      <c r="B340" s="2">
        <v>45634</v>
      </c>
      <c r="C340" s="2">
        <v>45634</v>
      </c>
      <c r="D340" t="s">
        <v>1133</v>
      </c>
      <c r="E340" t="s">
        <v>67</v>
      </c>
      <c r="F340" t="s">
        <v>51</v>
      </c>
      <c r="G340" t="s">
        <v>68</v>
      </c>
      <c r="H340" t="s">
        <v>98</v>
      </c>
      <c r="I340" t="s">
        <v>99</v>
      </c>
      <c r="J340" t="s">
        <v>88</v>
      </c>
      <c r="K340" t="s">
        <v>89</v>
      </c>
      <c r="L340" t="s">
        <v>1134</v>
      </c>
      <c r="M340" t="s">
        <v>64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46</v>
      </c>
      <c r="U340" t="s">
        <v>47</v>
      </c>
      <c r="V340" t="str">
        <f t="shared" si="49"/>
        <v>Valid</v>
      </c>
      <c r="W340">
        <f t="shared" si="50"/>
        <v>0</v>
      </c>
      <c r="Y340" t="str">
        <f t="shared" si="51"/>
        <v>OK</v>
      </c>
      <c r="Z340" t="str">
        <f t="shared" si="52"/>
        <v>OK</v>
      </c>
      <c r="AA340" t="str">
        <f t="shared" si="53"/>
        <v>OK</v>
      </c>
      <c r="AB340" t="str">
        <f t="shared" si="54"/>
        <v>Valid</v>
      </c>
      <c r="AC340" t="str">
        <f>IF(OR(AB340="Invalid Discount",V340="Invalid Shipping"),
"Invalid",
IF(OR(Y340="Missing Region",
Z340="Missing Ship Mode",
AA340="Missing Discount",
X340="Flagged for Review"),
"Warning",
"Clean"))</f>
        <v>Clean</v>
      </c>
      <c r="AD340">
        <f t="shared" si="55"/>
        <v>0.25</v>
      </c>
      <c r="AE340">
        <f>N340*O340*(1-AD340)</f>
        <v>26414.159999999996</v>
      </c>
      <c r="AF340">
        <f>AE340-R340</f>
        <v>4591.6299999999974</v>
      </c>
      <c r="AG340" s="3">
        <f t="shared" si="56"/>
        <v>0.17383214154832097</v>
      </c>
      <c r="AH340" t="str">
        <f t="shared" si="57"/>
        <v>December</v>
      </c>
      <c r="AI340">
        <f t="shared" si="58"/>
        <v>2024</v>
      </c>
    </row>
    <row r="341" spans="1:35">
      <c r="A341" t="s">
        <v>1135</v>
      </c>
      <c r="B341" s="2">
        <v>45708</v>
      </c>
      <c r="C341" s="2">
        <v>45710</v>
      </c>
      <c r="D341" t="s">
        <v>1136</v>
      </c>
      <c r="E341" t="s">
        <v>93</v>
      </c>
      <c r="F341" t="s">
        <v>104</v>
      </c>
      <c r="G341" t="s">
        <v>52</v>
      </c>
      <c r="H341" t="s">
        <v>243</v>
      </c>
      <c r="I341" t="s">
        <v>244</v>
      </c>
      <c r="J341" t="s">
        <v>55</v>
      </c>
      <c r="K341" t="s">
        <v>172</v>
      </c>
      <c r="L341" t="s">
        <v>1137</v>
      </c>
      <c r="M341" t="s">
        <v>73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46</v>
      </c>
      <c r="U341" t="s">
        <v>47</v>
      </c>
      <c r="V341" t="str">
        <f t="shared" si="49"/>
        <v>Valid</v>
      </c>
      <c r="W341">
        <f t="shared" si="50"/>
        <v>2</v>
      </c>
      <c r="Y341" t="str">
        <f t="shared" si="51"/>
        <v>OK</v>
      </c>
      <c r="Z341" t="str">
        <f t="shared" si="52"/>
        <v>OK</v>
      </c>
      <c r="AA341" t="str">
        <f t="shared" si="53"/>
        <v>OK</v>
      </c>
      <c r="AB341" t="str">
        <f t="shared" si="54"/>
        <v>Valid</v>
      </c>
      <c r="AC341" t="str">
        <f>IF(OR(AB341="Invalid Discount",V341="Invalid Shipping"),
"Invalid",
IF(OR(Y341="Missing Region",
Z341="Missing Ship Mode",
AA341="Missing Discount",
X341="Flagged for Review"),
"Warning",
"Clean"))</f>
        <v>Clean</v>
      </c>
      <c r="AD341">
        <f t="shared" si="55"/>
        <v>0.2</v>
      </c>
      <c r="AE341">
        <f>N341*O341*(1-AD341)</f>
        <v>20900.864000000001</v>
      </c>
      <c r="AF341">
        <f>AE341-R341</f>
        <v>8387.724000000002</v>
      </c>
      <c r="AG341" s="3">
        <f t="shared" si="56"/>
        <v>0.40130991714026759</v>
      </c>
      <c r="AH341" t="str">
        <f t="shared" si="57"/>
        <v>February</v>
      </c>
      <c r="AI341">
        <f t="shared" si="58"/>
        <v>2025</v>
      </c>
    </row>
    <row r="342" spans="1:35">
      <c r="A342" t="s">
        <v>1138</v>
      </c>
      <c r="B342" s="2">
        <v>45312</v>
      </c>
      <c r="C342" s="2">
        <v>45320</v>
      </c>
      <c r="D342" t="s">
        <v>1139</v>
      </c>
      <c r="E342" t="s">
        <v>93</v>
      </c>
      <c r="F342" t="s">
        <v>38</v>
      </c>
      <c r="G342" t="s">
        <v>68</v>
      </c>
      <c r="H342" t="s">
        <v>189</v>
      </c>
      <c r="I342" t="s">
        <v>190</v>
      </c>
      <c r="J342" t="s">
        <v>42</v>
      </c>
      <c r="K342" t="s">
        <v>167</v>
      </c>
      <c r="L342" t="s">
        <v>1140</v>
      </c>
      <c r="M342" t="s">
        <v>73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46</v>
      </c>
      <c r="U342" t="s">
        <v>47</v>
      </c>
      <c r="V342" t="str">
        <f t="shared" si="49"/>
        <v>Valid</v>
      </c>
      <c r="W342">
        <f t="shared" si="50"/>
        <v>8</v>
      </c>
      <c r="Y342" t="str">
        <f t="shared" si="51"/>
        <v>OK</v>
      </c>
      <c r="Z342" t="str">
        <f t="shared" si="52"/>
        <v>OK</v>
      </c>
      <c r="AA342" t="str">
        <f t="shared" si="53"/>
        <v>OK</v>
      </c>
      <c r="AB342" t="str">
        <f t="shared" si="54"/>
        <v>Valid</v>
      </c>
      <c r="AC342" t="str">
        <f>IF(OR(AB342="Invalid Discount",V342="Invalid Shipping"),
"Invalid",
IF(OR(Y342="Missing Region",
Z342="Missing Ship Mode",
AA342="Missing Discount",
X342="Flagged for Review"),
"Warning",
"Clean"))</f>
        <v>Clean</v>
      </c>
      <c r="AD342">
        <f t="shared" si="55"/>
        <v>0.1</v>
      </c>
      <c r="AE342">
        <f>N342*O342*(1-AD342)</f>
        <v>18261.36</v>
      </c>
      <c r="AF342">
        <f>AE342-R342</f>
        <v>6861.42</v>
      </c>
      <c r="AG342" s="3">
        <f t="shared" si="56"/>
        <v>0.3757343374206521</v>
      </c>
      <c r="AH342" t="str">
        <f t="shared" si="57"/>
        <v>January</v>
      </c>
      <c r="AI342">
        <f t="shared" si="58"/>
        <v>2024</v>
      </c>
    </row>
    <row r="343" spans="1:35">
      <c r="A343" t="s">
        <v>1141</v>
      </c>
      <c r="B343" s="2">
        <v>45908</v>
      </c>
      <c r="C343" s="2">
        <v>45909</v>
      </c>
      <c r="D343" t="s">
        <v>1142</v>
      </c>
      <c r="E343" t="s">
        <v>155</v>
      </c>
      <c r="F343" t="s">
        <v>109</v>
      </c>
      <c r="G343" t="s">
        <v>77</v>
      </c>
      <c r="H343" t="s">
        <v>194</v>
      </c>
      <c r="I343" t="s">
        <v>195</v>
      </c>
      <c r="J343" t="s">
        <v>55</v>
      </c>
      <c r="K343" t="s">
        <v>80</v>
      </c>
      <c r="L343" t="s">
        <v>1143</v>
      </c>
      <c r="M343" t="s">
        <v>45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46</v>
      </c>
      <c r="U343" t="s">
        <v>47</v>
      </c>
      <c r="V343" t="str">
        <f t="shared" si="49"/>
        <v>Valid</v>
      </c>
      <c r="W343">
        <f t="shared" si="50"/>
        <v>1</v>
      </c>
      <c r="Y343" t="str">
        <f t="shared" si="51"/>
        <v>OK</v>
      </c>
      <c r="Z343" t="str">
        <f t="shared" si="52"/>
        <v>OK</v>
      </c>
      <c r="AA343" t="str">
        <f t="shared" si="53"/>
        <v>OK</v>
      </c>
      <c r="AB343" t="str">
        <f t="shared" si="54"/>
        <v>Valid</v>
      </c>
      <c r="AC343" t="str">
        <f>IF(OR(AB343="Invalid Discount",V343="Invalid Shipping"),
"Invalid",
IF(OR(Y343="Missing Region",
Z343="Missing Ship Mode",
AA343="Missing Discount",
X343="Flagged for Review"),
"Warning",
"Clean"))</f>
        <v>Clean</v>
      </c>
      <c r="AD343">
        <f t="shared" si="55"/>
        <v>0.05</v>
      </c>
      <c r="AE343">
        <f>N343*O343*(1-AD343)</f>
        <v>7524.6269999999995</v>
      </c>
      <c r="AF343">
        <f>AE343-R343</f>
        <v>1295.0269999999991</v>
      </c>
      <c r="AG343" s="3">
        <f t="shared" si="56"/>
        <v>0.17210514222166751</v>
      </c>
      <c r="AH343" t="str">
        <f t="shared" si="57"/>
        <v>September</v>
      </c>
      <c r="AI343">
        <f t="shared" si="58"/>
        <v>2025</v>
      </c>
    </row>
    <row r="344" spans="1:35">
      <c r="A344" t="s">
        <v>1144</v>
      </c>
      <c r="B344" s="2">
        <v>45862</v>
      </c>
      <c r="C344" s="2">
        <v>45870</v>
      </c>
      <c r="D344" t="s">
        <v>1145</v>
      </c>
      <c r="E344" t="s">
        <v>279</v>
      </c>
      <c r="F344" t="s">
        <v>51</v>
      </c>
      <c r="G344" t="s">
        <v>52</v>
      </c>
      <c r="H344" t="s">
        <v>243</v>
      </c>
      <c r="I344" t="s">
        <v>244</v>
      </c>
      <c r="J344" t="s">
        <v>42</v>
      </c>
      <c r="K344" t="s">
        <v>167</v>
      </c>
      <c r="L344" t="s">
        <v>1146</v>
      </c>
      <c r="M344" t="s">
        <v>64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46</v>
      </c>
      <c r="U344" t="s">
        <v>47</v>
      </c>
      <c r="V344" t="str">
        <f t="shared" si="49"/>
        <v>Valid</v>
      </c>
      <c r="W344">
        <f t="shared" si="50"/>
        <v>8</v>
      </c>
      <c r="Y344" t="str">
        <f t="shared" si="51"/>
        <v>OK</v>
      </c>
      <c r="Z344" t="str">
        <f t="shared" si="52"/>
        <v>OK</v>
      </c>
      <c r="AA344" t="str">
        <f t="shared" si="53"/>
        <v>OK</v>
      </c>
      <c r="AB344" t="str">
        <f t="shared" si="54"/>
        <v>Valid</v>
      </c>
      <c r="AC344" t="str">
        <f>IF(OR(AB344="Invalid Discount",V344="Invalid Shipping"),
"Invalid",
IF(OR(Y344="Missing Region",
Z344="Missing Ship Mode",
AA344="Missing Discount",
X344="Flagged for Review"),
"Warning",
"Clean"))</f>
        <v>Clean</v>
      </c>
      <c r="AD344">
        <f t="shared" si="55"/>
        <v>0</v>
      </c>
      <c r="AE344">
        <f>N344*O344*(1-AD344)</f>
        <v>12231.36</v>
      </c>
      <c r="AF344">
        <f>AE344-R344</f>
        <v>3464.4600000000009</v>
      </c>
      <c r="AG344" s="3">
        <f t="shared" si="56"/>
        <v>0.28324405462679547</v>
      </c>
      <c r="AH344" t="str">
        <f t="shared" si="57"/>
        <v>July</v>
      </c>
      <c r="AI344">
        <f t="shared" si="58"/>
        <v>2025</v>
      </c>
    </row>
    <row r="345" spans="1:35">
      <c r="A345" t="s">
        <v>1147</v>
      </c>
      <c r="B345" s="2">
        <v>45933</v>
      </c>
      <c r="C345" s="2">
        <v>45938</v>
      </c>
      <c r="D345" t="s">
        <v>1148</v>
      </c>
      <c r="E345" t="s">
        <v>142</v>
      </c>
      <c r="F345" t="s">
        <v>104</v>
      </c>
      <c r="G345" t="s">
        <v>77</v>
      </c>
      <c r="H345" t="s">
        <v>86</v>
      </c>
      <c r="I345" t="s">
        <v>87</v>
      </c>
      <c r="J345" t="s">
        <v>88</v>
      </c>
      <c r="K345" t="s">
        <v>289</v>
      </c>
      <c r="L345" t="s">
        <v>1149</v>
      </c>
      <c r="M345" t="s">
        <v>58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46</v>
      </c>
      <c r="U345" t="s">
        <v>47</v>
      </c>
      <c r="V345" t="str">
        <f t="shared" si="49"/>
        <v>Valid</v>
      </c>
      <c r="W345">
        <f t="shared" si="50"/>
        <v>5</v>
      </c>
      <c r="Y345" t="str">
        <f t="shared" si="51"/>
        <v>OK</v>
      </c>
      <c r="Z345" t="str">
        <f t="shared" si="52"/>
        <v>OK</v>
      </c>
      <c r="AA345" t="str">
        <f t="shared" si="53"/>
        <v>OK</v>
      </c>
      <c r="AB345" t="str">
        <f t="shared" si="54"/>
        <v>Valid</v>
      </c>
      <c r="AC345" t="str">
        <f>IF(OR(AB345="Invalid Discount",V345="Invalid Shipping"),
"Invalid",
IF(OR(Y345="Missing Region",
Z345="Missing Ship Mode",
AA345="Missing Discount",
X345="Flagged for Review"),
"Warning",
"Clean"))</f>
        <v>Clean</v>
      </c>
      <c r="AD345">
        <f t="shared" si="55"/>
        <v>0.1</v>
      </c>
      <c r="AE345">
        <f>N345*O345*(1-AD345)</f>
        <v>31079.7</v>
      </c>
      <c r="AF345">
        <f>AE345-R345</f>
        <v>13321.45</v>
      </c>
      <c r="AG345" s="3">
        <f t="shared" si="56"/>
        <v>0.4286222196481948</v>
      </c>
      <c r="AH345" t="str">
        <f t="shared" si="57"/>
        <v>October</v>
      </c>
      <c r="AI345">
        <f t="shared" si="58"/>
        <v>2025</v>
      </c>
    </row>
    <row r="346" spans="1:35">
      <c r="A346" t="s">
        <v>1150</v>
      </c>
      <c r="B346" s="2">
        <v>45362</v>
      </c>
      <c r="C346" s="2">
        <v>45362</v>
      </c>
      <c r="D346" t="s">
        <v>1151</v>
      </c>
      <c r="E346" t="s">
        <v>128</v>
      </c>
      <c r="F346" t="s">
        <v>38</v>
      </c>
      <c r="G346" t="s">
        <v>39</v>
      </c>
      <c r="H346" t="s">
        <v>136</v>
      </c>
      <c r="I346" t="s">
        <v>137</v>
      </c>
      <c r="J346" t="s">
        <v>55</v>
      </c>
      <c r="K346" t="s">
        <v>172</v>
      </c>
      <c r="L346" t="s">
        <v>1152</v>
      </c>
      <c r="M346" t="s">
        <v>58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125</v>
      </c>
      <c r="U346" t="s">
        <v>117</v>
      </c>
      <c r="V346" t="str">
        <f t="shared" si="49"/>
        <v>Valid</v>
      </c>
      <c r="W346">
        <f t="shared" si="50"/>
        <v>0</v>
      </c>
      <c r="Y346" t="str">
        <f t="shared" si="51"/>
        <v>OK</v>
      </c>
      <c r="Z346" t="str">
        <f t="shared" si="52"/>
        <v>OK</v>
      </c>
      <c r="AA346" t="str">
        <f t="shared" si="53"/>
        <v>OK</v>
      </c>
      <c r="AB346" t="str">
        <f t="shared" si="54"/>
        <v>Valid</v>
      </c>
      <c r="AC346" t="str">
        <f>IF(OR(AB346="Invalid Discount",V346="Invalid Shipping"),
"Invalid",
IF(OR(Y346="Missing Region",
Z346="Missing Ship Mode",
AA346="Missing Discount",
X346="Flagged for Review"),
"Warning",
"Clean"))</f>
        <v>Clean</v>
      </c>
      <c r="AD346">
        <f t="shared" si="55"/>
        <v>0</v>
      </c>
      <c r="AE346">
        <f>N346*O346*(1-AD346)</f>
        <v>31107.420000000002</v>
      </c>
      <c r="AF346">
        <f>AE346-R346</f>
        <v>10960.760000000002</v>
      </c>
      <c r="AG346" s="3">
        <f t="shared" si="56"/>
        <v>0.3523519468988428</v>
      </c>
      <c r="AH346" t="str">
        <f t="shared" si="57"/>
        <v>March</v>
      </c>
      <c r="AI346">
        <f t="shared" si="58"/>
        <v>2024</v>
      </c>
    </row>
    <row r="347" spans="1:35">
      <c r="A347" t="s">
        <v>1153</v>
      </c>
      <c r="B347" s="2">
        <v>45549</v>
      </c>
      <c r="C347" s="2">
        <v>45557</v>
      </c>
      <c r="D347" t="s">
        <v>1154</v>
      </c>
      <c r="E347" t="s">
        <v>37</v>
      </c>
      <c r="F347" t="s">
        <v>38</v>
      </c>
      <c r="G347" t="s">
        <v>77</v>
      </c>
      <c r="H347" t="s">
        <v>86</v>
      </c>
      <c r="I347" t="s">
        <v>87</v>
      </c>
      <c r="J347" t="s">
        <v>55</v>
      </c>
      <c r="K347" t="s">
        <v>71</v>
      </c>
      <c r="L347" t="s">
        <v>1155</v>
      </c>
      <c r="M347" t="s">
        <v>45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46</v>
      </c>
      <c r="U347" t="s">
        <v>47</v>
      </c>
      <c r="V347" t="str">
        <f t="shared" si="49"/>
        <v>Valid</v>
      </c>
      <c r="W347">
        <f t="shared" si="50"/>
        <v>8</v>
      </c>
      <c r="Y347" t="str">
        <f t="shared" si="51"/>
        <v>OK</v>
      </c>
      <c r="Z347" t="str">
        <f t="shared" si="52"/>
        <v>OK</v>
      </c>
      <c r="AA347" t="str">
        <f t="shared" si="53"/>
        <v>OK</v>
      </c>
      <c r="AB347" t="str">
        <f t="shared" si="54"/>
        <v>Valid</v>
      </c>
      <c r="AC347" t="str">
        <f>IF(OR(AB347="Invalid Discount",V347="Invalid Shipping"),
"Invalid",
IF(OR(Y347="Missing Region",
Z347="Missing Ship Mode",
AA347="Missing Discount",
X347="Flagged for Review"),
"Warning",
"Clean"))</f>
        <v>Clean</v>
      </c>
      <c r="AD347">
        <f t="shared" si="55"/>
        <v>0</v>
      </c>
      <c r="AE347">
        <f>N347*O347*(1-AD347)</f>
        <v>5530.6</v>
      </c>
      <c r="AF347">
        <f>AE347-R347</f>
        <v>1077.4900000000007</v>
      </c>
      <c r="AG347" s="3">
        <f t="shared" si="56"/>
        <v>0.19482334647235391</v>
      </c>
      <c r="AH347" t="str">
        <f t="shared" si="57"/>
        <v>September</v>
      </c>
      <c r="AI347">
        <f t="shared" si="58"/>
        <v>2024</v>
      </c>
    </row>
    <row r="348" spans="1:35">
      <c r="A348" t="s">
        <v>1156</v>
      </c>
      <c r="B348" s="2">
        <v>45860</v>
      </c>
      <c r="C348" s="2">
        <v>45866</v>
      </c>
      <c r="D348" t="s">
        <v>1157</v>
      </c>
      <c r="E348" t="s">
        <v>132</v>
      </c>
      <c r="F348" t="s">
        <v>104</v>
      </c>
      <c r="G348" t="s">
        <v>68</v>
      </c>
      <c r="H348" t="s">
        <v>199</v>
      </c>
      <c r="I348" t="s">
        <v>200</v>
      </c>
      <c r="J348" t="s">
        <v>55</v>
      </c>
      <c r="K348" t="s">
        <v>80</v>
      </c>
      <c r="L348" t="s">
        <v>1158</v>
      </c>
      <c r="M348" t="s">
        <v>45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46</v>
      </c>
      <c r="U348" t="s">
        <v>47</v>
      </c>
      <c r="V348" t="str">
        <f t="shared" si="49"/>
        <v>Valid</v>
      </c>
      <c r="W348">
        <f t="shared" si="50"/>
        <v>6</v>
      </c>
      <c r="Y348" t="str">
        <f t="shared" si="51"/>
        <v>OK</v>
      </c>
      <c r="Z348" t="str">
        <f t="shared" si="52"/>
        <v>OK</v>
      </c>
      <c r="AA348" t="str">
        <f t="shared" si="53"/>
        <v>OK</v>
      </c>
      <c r="AB348" t="str">
        <f t="shared" si="54"/>
        <v>Valid</v>
      </c>
      <c r="AC348" t="str">
        <f>IF(OR(AB348="Invalid Discount",V348="Invalid Shipping"),
"Invalid",
IF(OR(Y348="Missing Region",
Z348="Missing Ship Mode",
AA348="Missing Discount",
X348="Flagged for Review"),
"Warning",
"Clean"))</f>
        <v>Clean</v>
      </c>
      <c r="AD348">
        <f t="shared" si="55"/>
        <v>0.2</v>
      </c>
      <c r="AE348">
        <f>N348*O348*(1-AD348)</f>
        <v>7715.8080000000009</v>
      </c>
      <c r="AF348">
        <f>AE348-R348</f>
        <v>3457.3880000000008</v>
      </c>
      <c r="AG348" s="3">
        <f t="shared" si="56"/>
        <v>0.4480915025360922</v>
      </c>
      <c r="AH348" t="str">
        <f t="shared" si="57"/>
        <v>July</v>
      </c>
      <c r="AI348">
        <f t="shared" si="58"/>
        <v>2025</v>
      </c>
    </row>
    <row r="349" spans="1:35">
      <c r="A349" t="s">
        <v>1159</v>
      </c>
      <c r="B349" s="2">
        <v>45627</v>
      </c>
      <c r="C349" s="2">
        <v>45634</v>
      </c>
      <c r="D349" t="s">
        <v>1160</v>
      </c>
      <c r="E349" t="s">
        <v>142</v>
      </c>
      <c r="F349" t="s">
        <v>51</v>
      </c>
      <c r="G349" t="s">
        <v>77</v>
      </c>
      <c r="H349" t="s">
        <v>204</v>
      </c>
      <c r="I349" t="s">
        <v>205</v>
      </c>
      <c r="J349" t="s">
        <v>55</v>
      </c>
      <c r="K349" t="s">
        <v>80</v>
      </c>
      <c r="L349" t="s">
        <v>1161</v>
      </c>
      <c r="M349" t="s">
        <v>45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116</v>
      </c>
      <c r="U349" t="s">
        <v>117</v>
      </c>
      <c r="V349" t="str">
        <f t="shared" si="49"/>
        <v>Valid</v>
      </c>
      <c r="W349">
        <f t="shared" si="50"/>
        <v>7</v>
      </c>
      <c r="Y349" t="str">
        <f t="shared" si="51"/>
        <v>OK</v>
      </c>
      <c r="Z349" t="str">
        <f t="shared" si="52"/>
        <v>OK</v>
      </c>
      <c r="AA349" t="str">
        <f t="shared" si="53"/>
        <v>OK</v>
      </c>
      <c r="AB349" t="str">
        <f t="shared" si="54"/>
        <v>Valid</v>
      </c>
      <c r="AC349" t="str">
        <f>IF(OR(AB349="Invalid Discount",V349="Invalid Shipping"),
"Invalid",
IF(OR(Y349="Missing Region",
Z349="Missing Ship Mode",
AA349="Missing Discount",
X349="Flagged for Review"),
"Warning",
"Clean"))</f>
        <v>Clean</v>
      </c>
      <c r="AD349">
        <f t="shared" si="55"/>
        <v>0.2</v>
      </c>
      <c r="AE349">
        <f>N349*O349*(1-AD349)</f>
        <v>11925.96</v>
      </c>
      <c r="AF349">
        <f>AE349-R349</f>
        <v>1822.4499999999989</v>
      </c>
      <c r="AG349" s="3">
        <f t="shared" si="56"/>
        <v>0.15281369382422874</v>
      </c>
      <c r="AH349" t="str">
        <f t="shared" si="57"/>
        <v>December</v>
      </c>
      <c r="AI349">
        <f t="shared" si="58"/>
        <v>2024</v>
      </c>
    </row>
    <row r="350" spans="1:35">
      <c r="A350" t="s">
        <v>1162</v>
      </c>
      <c r="B350" s="2">
        <v>45445</v>
      </c>
      <c r="C350" s="2">
        <v>45450</v>
      </c>
      <c r="D350" t="s">
        <v>1163</v>
      </c>
      <c r="E350" t="s">
        <v>142</v>
      </c>
      <c r="F350" t="s">
        <v>104</v>
      </c>
      <c r="G350" t="s">
        <v>68</v>
      </c>
      <c r="H350" t="s">
        <v>189</v>
      </c>
      <c r="I350" t="s">
        <v>190</v>
      </c>
      <c r="J350" t="s">
        <v>88</v>
      </c>
      <c r="K350" t="s">
        <v>185</v>
      </c>
      <c r="L350" t="s">
        <v>1164</v>
      </c>
      <c r="M350" t="s">
        <v>58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46</v>
      </c>
      <c r="U350" t="s">
        <v>47</v>
      </c>
      <c r="V350" t="str">
        <f t="shared" si="49"/>
        <v>Valid</v>
      </c>
      <c r="W350">
        <f t="shared" si="50"/>
        <v>5</v>
      </c>
      <c r="Y350" t="str">
        <f t="shared" si="51"/>
        <v>OK</v>
      </c>
      <c r="Z350" t="str">
        <f t="shared" si="52"/>
        <v>OK</v>
      </c>
      <c r="AA350" t="str">
        <f t="shared" si="53"/>
        <v>OK</v>
      </c>
      <c r="AB350" t="str">
        <f t="shared" si="54"/>
        <v>Valid</v>
      </c>
      <c r="AC350" t="str">
        <f>IF(OR(AB350="Invalid Discount",V350="Invalid Shipping"),
"Invalid",
IF(OR(Y350="Missing Region",
Z350="Missing Ship Mode",
AA350="Missing Discount",
X350="Flagged for Review"),
"Warning",
"Clean"))</f>
        <v>Clean</v>
      </c>
      <c r="AD350">
        <f t="shared" si="55"/>
        <v>0.25</v>
      </c>
      <c r="AE350">
        <f>N350*O350*(1-AD350)</f>
        <v>19306.755000000005</v>
      </c>
      <c r="AF350">
        <f>AE350-R350</f>
        <v>4864.3750000000055</v>
      </c>
      <c r="AG350" s="3">
        <f t="shared" si="56"/>
        <v>0.25195197225012717</v>
      </c>
      <c r="AH350" t="str">
        <f t="shared" si="57"/>
        <v>June</v>
      </c>
      <c r="AI350">
        <f t="shared" si="58"/>
        <v>2024</v>
      </c>
    </row>
    <row r="351" spans="1:35">
      <c r="A351" t="s">
        <v>1165</v>
      </c>
      <c r="B351" s="2">
        <v>45927</v>
      </c>
      <c r="C351" s="2">
        <v>45929</v>
      </c>
      <c r="D351" t="s">
        <v>1166</v>
      </c>
      <c r="E351" t="s">
        <v>279</v>
      </c>
      <c r="F351" t="s">
        <v>109</v>
      </c>
      <c r="G351" t="s">
        <v>52</v>
      </c>
      <c r="H351" t="s">
        <v>243</v>
      </c>
      <c r="I351" t="s">
        <v>244</v>
      </c>
      <c r="J351" t="s">
        <v>55</v>
      </c>
      <c r="K351" t="s">
        <v>71</v>
      </c>
      <c r="L351" t="s">
        <v>1167</v>
      </c>
      <c r="M351" t="s">
        <v>45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46</v>
      </c>
      <c r="U351" t="s">
        <v>47</v>
      </c>
      <c r="V351" t="str">
        <f t="shared" si="49"/>
        <v>Valid</v>
      </c>
      <c r="W351">
        <f t="shared" si="50"/>
        <v>2</v>
      </c>
      <c r="Y351" t="str">
        <f t="shared" si="51"/>
        <v>OK</v>
      </c>
      <c r="Z351" t="str">
        <f t="shared" si="52"/>
        <v>OK</v>
      </c>
      <c r="AA351" t="str">
        <f t="shared" si="53"/>
        <v>OK</v>
      </c>
      <c r="AB351" t="str">
        <f t="shared" si="54"/>
        <v>Valid</v>
      </c>
      <c r="AC351" t="str">
        <f>IF(OR(AB351="Invalid Discount",V351="Invalid Shipping"),
"Invalid",
IF(OR(Y351="Missing Region",
Z351="Missing Ship Mode",
AA351="Missing Discount",
X351="Flagged for Review"),
"Warning",
"Clean"))</f>
        <v>Clean</v>
      </c>
      <c r="AD351">
        <f t="shared" si="55"/>
        <v>0.25</v>
      </c>
      <c r="AE351">
        <f>N351*O351*(1-AD351)</f>
        <v>19355.962500000001</v>
      </c>
      <c r="AF351">
        <f>AE351-R351</f>
        <v>4343.5125000000007</v>
      </c>
      <c r="AG351" s="3">
        <f t="shared" si="56"/>
        <v>0.22440178317146461</v>
      </c>
      <c r="AH351" t="str">
        <f t="shared" si="57"/>
        <v>September</v>
      </c>
      <c r="AI351">
        <f t="shared" si="58"/>
        <v>2025</v>
      </c>
    </row>
    <row r="352" spans="1:35">
      <c r="A352" t="s">
        <v>1168</v>
      </c>
      <c r="B352" s="2">
        <v>45298</v>
      </c>
      <c r="C352" s="2">
        <v>45305</v>
      </c>
      <c r="D352" t="s">
        <v>1169</v>
      </c>
      <c r="E352" t="s">
        <v>146</v>
      </c>
      <c r="F352" t="s">
        <v>51</v>
      </c>
      <c r="G352" t="s">
        <v>52</v>
      </c>
      <c r="H352" t="s">
        <v>243</v>
      </c>
      <c r="I352" t="s">
        <v>244</v>
      </c>
      <c r="J352" t="s">
        <v>55</v>
      </c>
      <c r="K352" t="s">
        <v>71</v>
      </c>
      <c r="L352" t="s">
        <v>1170</v>
      </c>
      <c r="M352" t="s">
        <v>45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116</v>
      </c>
      <c r="U352" t="s">
        <v>117</v>
      </c>
      <c r="V352" t="str">
        <f t="shared" si="49"/>
        <v>Valid</v>
      </c>
      <c r="W352">
        <f t="shared" si="50"/>
        <v>7</v>
      </c>
      <c r="Y352" t="str">
        <f t="shared" si="51"/>
        <v>OK</v>
      </c>
      <c r="Z352" t="str">
        <f t="shared" si="52"/>
        <v>OK</v>
      </c>
      <c r="AA352" t="str">
        <f t="shared" si="53"/>
        <v>OK</v>
      </c>
      <c r="AB352" t="str">
        <f t="shared" si="54"/>
        <v>Valid</v>
      </c>
      <c r="AC352" t="str">
        <f>IF(OR(AB352="Invalid Discount",V352="Invalid Shipping"),
"Invalid",
IF(OR(Y352="Missing Region",
Z352="Missing Ship Mode",
AA352="Missing Discount",
X352="Flagged for Review"),
"Warning",
"Clean"))</f>
        <v>Clean</v>
      </c>
      <c r="AD352">
        <f t="shared" si="55"/>
        <v>0.1</v>
      </c>
      <c r="AE352">
        <f>N352*O352*(1-AD352)</f>
        <v>11914.344000000001</v>
      </c>
      <c r="AF352">
        <f>AE352-R352</f>
        <v>2143.1040000000012</v>
      </c>
      <c r="AG352" s="3">
        <f t="shared" si="56"/>
        <v>0.17987595456367561</v>
      </c>
      <c r="AH352" t="str">
        <f t="shared" si="57"/>
        <v>January</v>
      </c>
      <c r="AI352">
        <f t="shared" si="58"/>
        <v>2024</v>
      </c>
    </row>
    <row r="353" spans="1:35">
      <c r="A353" t="s">
        <v>1171</v>
      </c>
      <c r="B353" s="2">
        <v>45800</v>
      </c>
      <c r="C353" s="2">
        <v>45804</v>
      </c>
      <c r="D353" t="s">
        <v>1172</v>
      </c>
      <c r="E353" t="s">
        <v>85</v>
      </c>
      <c r="F353" t="s">
        <v>51</v>
      </c>
      <c r="G353" t="s">
        <v>68</v>
      </c>
      <c r="H353" t="s">
        <v>69</v>
      </c>
      <c r="I353" t="s">
        <v>70</v>
      </c>
      <c r="J353" t="s">
        <v>42</v>
      </c>
      <c r="K353" t="s">
        <v>138</v>
      </c>
      <c r="L353" t="s">
        <v>1173</v>
      </c>
      <c r="M353" t="s">
        <v>64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125</v>
      </c>
      <c r="U353" t="s">
        <v>82</v>
      </c>
      <c r="V353" t="str">
        <f t="shared" si="49"/>
        <v>Valid</v>
      </c>
      <c r="W353">
        <f t="shared" si="50"/>
        <v>4</v>
      </c>
      <c r="Y353" t="str">
        <f t="shared" si="51"/>
        <v>OK</v>
      </c>
      <c r="Z353" t="str">
        <f t="shared" si="52"/>
        <v>OK</v>
      </c>
      <c r="AA353" t="str">
        <f t="shared" si="53"/>
        <v>OK</v>
      </c>
      <c r="AB353" t="str">
        <f t="shared" si="54"/>
        <v>Valid</v>
      </c>
      <c r="AC353" t="str">
        <f>IF(OR(AB353="Invalid Discount",V353="Invalid Shipping"),
"Invalid",
IF(OR(Y353="Missing Region",
Z353="Missing Ship Mode",
AA353="Missing Discount",
X353="Flagged for Review"),
"Warning",
"Clean"))</f>
        <v>Clean</v>
      </c>
      <c r="AD353">
        <f t="shared" si="55"/>
        <v>0.25</v>
      </c>
      <c r="AE353">
        <f>N353*O353*(1-AD353)</f>
        <v>3237.4800000000005</v>
      </c>
      <c r="AF353">
        <f>AE353-R353</f>
        <v>1119.1400000000003</v>
      </c>
      <c r="AG353" s="3">
        <f t="shared" si="56"/>
        <v>0.34568244437031276</v>
      </c>
      <c r="AH353" t="str">
        <f t="shared" si="57"/>
        <v>May</v>
      </c>
      <c r="AI353">
        <f t="shared" si="58"/>
        <v>2025</v>
      </c>
    </row>
    <row r="354" spans="1:35">
      <c r="A354" t="s">
        <v>1174</v>
      </c>
      <c r="B354" s="2">
        <v>45884</v>
      </c>
      <c r="C354" s="2">
        <v>45886</v>
      </c>
      <c r="D354" t="s">
        <v>1175</v>
      </c>
      <c r="E354" t="s">
        <v>176</v>
      </c>
      <c r="F354" t="s">
        <v>51</v>
      </c>
      <c r="G354" t="s">
        <v>52</v>
      </c>
      <c r="H354" t="s">
        <v>180</v>
      </c>
      <c r="I354" t="s">
        <v>181</v>
      </c>
      <c r="J354" t="s">
        <v>88</v>
      </c>
      <c r="K354" t="s">
        <v>94</v>
      </c>
      <c r="L354" t="s">
        <v>1176</v>
      </c>
      <c r="M354" t="s">
        <v>64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46</v>
      </c>
      <c r="U354" t="s">
        <v>47</v>
      </c>
      <c r="V354" t="str">
        <f t="shared" si="49"/>
        <v>Valid</v>
      </c>
      <c r="W354">
        <f t="shared" si="50"/>
        <v>2</v>
      </c>
      <c r="Y354" t="str">
        <f t="shared" si="51"/>
        <v>OK</v>
      </c>
      <c r="Z354" t="str">
        <f t="shared" si="52"/>
        <v>OK</v>
      </c>
      <c r="AA354" t="str">
        <f t="shared" si="53"/>
        <v>OK</v>
      </c>
      <c r="AB354" t="str">
        <f t="shared" si="54"/>
        <v>Valid</v>
      </c>
      <c r="AC354" t="str">
        <f>IF(OR(AB354="Invalid Discount",V354="Invalid Shipping"),
"Invalid",
IF(OR(Y354="Missing Region",
Z354="Missing Ship Mode",
AA354="Missing Discount",
X354="Flagged for Review"),
"Warning",
"Clean"))</f>
        <v>Clean</v>
      </c>
      <c r="AD354">
        <f t="shared" si="55"/>
        <v>0.25</v>
      </c>
      <c r="AE354">
        <f>N354*O354*(1-AD354)</f>
        <v>10734.75</v>
      </c>
      <c r="AF354">
        <f>AE354-R354</f>
        <v>4259.0200000000004</v>
      </c>
      <c r="AG354" s="3">
        <f t="shared" si="56"/>
        <v>0.39675073942103917</v>
      </c>
      <c r="AH354" t="str">
        <f t="shared" si="57"/>
        <v>August</v>
      </c>
      <c r="AI354">
        <f t="shared" si="58"/>
        <v>2025</v>
      </c>
    </row>
    <row r="355" spans="1:35">
      <c r="A355" t="s">
        <v>1177</v>
      </c>
      <c r="B355" s="2">
        <v>45709</v>
      </c>
      <c r="C355" s="2">
        <v>45715</v>
      </c>
      <c r="D355" t="s">
        <v>1178</v>
      </c>
      <c r="E355" t="s">
        <v>76</v>
      </c>
      <c r="F355" t="s">
        <v>38</v>
      </c>
      <c r="G355" t="s">
        <v>39</v>
      </c>
      <c r="H355" t="s">
        <v>40</v>
      </c>
      <c r="I355" t="s">
        <v>41</v>
      </c>
      <c r="J355" t="s">
        <v>42</v>
      </c>
      <c r="K355" t="s">
        <v>62</v>
      </c>
      <c r="L355" t="s">
        <v>1179</v>
      </c>
      <c r="M355" t="s">
        <v>58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46</v>
      </c>
      <c r="U355" t="s">
        <v>47</v>
      </c>
      <c r="V355" t="str">
        <f t="shared" si="49"/>
        <v>Valid</v>
      </c>
      <c r="W355">
        <f t="shared" si="50"/>
        <v>6</v>
      </c>
      <c r="Y355" t="str">
        <f t="shared" si="51"/>
        <v>OK</v>
      </c>
      <c r="Z355" t="str">
        <f t="shared" si="52"/>
        <v>OK</v>
      </c>
      <c r="AA355" t="str">
        <f t="shared" si="53"/>
        <v>OK</v>
      </c>
      <c r="AB355" t="str">
        <f t="shared" si="54"/>
        <v>Valid</v>
      </c>
      <c r="AC355" t="str">
        <f>IF(OR(AB355="Invalid Discount",V355="Invalid Shipping"),
"Invalid",
IF(OR(Y355="Missing Region",
Z355="Missing Ship Mode",
AA355="Missing Discount",
X355="Flagged for Review"),
"Warning",
"Clean"))</f>
        <v>Clean</v>
      </c>
      <c r="AD355">
        <f t="shared" si="55"/>
        <v>0.2</v>
      </c>
      <c r="AE355">
        <f>N355*O355*(1-AD355)</f>
        <v>10308.024000000001</v>
      </c>
      <c r="AF355">
        <f>AE355-R355</f>
        <v>4485.7140000000009</v>
      </c>
      <c r="AG355" s="3">
        <f t="shared" si="56"/>
        <v>0.4351672056642476</v>
      </c>
      <c r="AH355" t="str">
        <f t="shared" si="57"/>
        <v>February</v>
      </c>
      <c r="AI355">
        <f t="shared" si="58"/>
        <v>2025</v>
      </c>
    </row>
    <row r="356" spans="1:35">
      <c r="A356" t="s">
        <v>1180</v>
      </c>
      <c r="B356" s="2">
        <v>45653</v>
      </c>
      <c r="C356" s="2">
        <v>45657</v>
      </c>
      <c r="D356" t="s">
        <v>1181</v>
      </c>
      <c r="E356" t="s">
        <v>279</v>
      </c>
      <c r="F356" t="s">
        <v>104</v>
      </c>
      <c r="G356" t="s">
        <v>39</v>
      </c>
      <c r="H356" t="s">
        <v>136</v>
      </c>
      <c r="I356" t="s">
        <v>137</v>
      </c>
      <c r="J356" t="s">
        <v>55</v>
      </c>
      <c r="K356" t="s">
        <v>71</v>
      </c>
      <c r="L356" t="s">
        <v>1182</v>
      </c>
      <c r="M356" t="s">
        <v>73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125</v>
      </c>
      <c r="U356" t="s">
        <v>82</v>
      </c>
      <c r="V356" t="str">
        <f t="shared" si="49"/>
        <v>Valid</v>
      </c>
      <c r="W356">
        <f t="shared" si="50"/>
        <v>4</v>
      </c>
      <c r="Y356" t="str">
        <f t="shared" si="51"/>
        <v>OK</v>
      </c>
      <c r="Z356" t="str">
        <f t="shared" si="52"/>
        <v>OK</v>
      </c>
      <c r="AA356" t="str">
        <f t="shared" si="53"/>
        <v>OK</v>
      </c>
      <c r="AB356" t="str">
        <f t="shared" si="54"/>
        <v>Invalid Discount</v>
      </c>
      <c r="AC356" t="str">
        <f>IF(OR(AB356="Invalid Discount",V356="Invalid Shipping"),
"Invalid",
IF(OR(Y356="Missing Region",
Z356="Missing Ship Mode",
AA356="Missing Discount",
X356="Flagged for Review"),
"Warning",
"Clean"))</f>
        <v>Invalid</v>
      </c>
      <c r="AD356">
        <f t="shared" si="55"/>
        <v>-0.06</v>
      </c>
      <c r="AE356">
        <f>N356*O356*(1-AD356)</f>
        <v>21285.520800000002</v>
      </c>
      <c r="AF356">
        <f>AE356-R356</f>
        <v>8376.6808000000019</v>
      </c>
      <c r="AG356" s="3">
        <f t="shared" si="56"/>
        <v>0.39353891683965753</v>
      </c>
      <c r="AH356" t="str">
        <f t="shared" si="57"/>
        <v>December</v>
      </c>
      <c r="AI356">
        <f t="shared" si="58"/>
        <v>2024</v>
      </c>
    </row>
    <row r="357" spans="1:35">
      <c r="A357" t="s">
        <v>1183</v>
      </c>
      <c r="B357" s="2">
        <v>45424</v>
      </c>
      <c r="C357" s="2">
        <v>45421</v>
      </c>
      <c r="D357" t="s">
        <v>1184</v>
      </c>
      <c r="E357" t="s">
        <v>128</v>
      </c>
      <c r="F357" t="s">
        <v>104</v>
      </c>
      <c r="G357" t="s">
        <v>77</v>
      </c>
      <c r="H357" t="s">
        <v>40</v>
      </c>
      <c r="I357" t="s">
        <v>123</v>
      </c>
      <c r="J357" t="s">
        <v>55</v>
      </c>
      <c r="K357" t="s">
        <v>56</v>
      </c>
      <c r="L357" t="s">
        <v>1185</v>
      </c>
      <c r="M357" t="s">
        <v>73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125</v>
      </c>
      <c r="U357" t="s">
        <v>82</v>
      </c>
      <c r="V357" t="str">
        <f t="shared" si="49"/>
        <v>Invalid Shipping</v>
      </c>
      <c r="W357">
        <f t="shared" si="50"/>
        <v>-3</v>
      </c>
      <c r="Y357" t="str">
        <f t="shared" si="51"/>
        <v>OK</v>
      </c>
      <c r="Z357" t="str">
        <f t="shared" si="52"/>
        <v>OK</v>
      </c>
      <c r="AA357" t="str">
        <f t="shared" si="53"/>
        <v>OK</v>
      </c>
      <c r="AB357" t="str">
        <f t="shared" si="54"/>
        <v>Valid</v>
      </c>
      <c r="AC357" t="str">
        <f>IF(OR(AB357="Invalid Discount",V357="Invalid Shipping"),
"Invalid",
IF(OR(Y357="Missing Region",
Z357="Missing Ship Mode",
AA357="Missing Discount",
X357="Flagged for Review"),
"Warning",
"Clean"))</f>
        <v>Invalid</v>
      </c>
      <c r="AD357">
        <f t="shared" si="55"/>
        <v>0</v>
      </c>
      <c r="AE357">
        <f>N357*O357*(1-AD357)</f>
        <v>16017.4</v>
      </c>
      <c r="AF357">
        <f>AE357-R357</f>
        <v>6459.6</v>
      </c>
      <c r="AG357" s="3">
        <f t="shared" si="56"/>
        <v>0.40328642601171227</v>
      </c>
      <c r="AH357" t="str">
        <f t="shared" si="57"/>
        <v>May</v>
      </c>
      <c r="AI357">
        <f t="shared" si="58"/>
        <v>2024</v>
      </c>
    </row>
    <row r="358" spans="1:35">
      <c r="A358" t="s">
        <v>1186</v>
      </c>
      <c r="B358" s="2">
        <v>45835</v>
      </c>
      <c r="C358" s="2">
        <v>45837</v>
      </c>
      <c r="D358" t="s">
        <v>1187</v>
      </c>
      <c r="E358" t="s">
        <v>155</v>
      </c>
      <c r="F358" t="s">
        <v>109</v>
      </c>
      <c r="G358" t="s">
        <v>68</v>
      </c>
      <c r="H358" t="s">
        <v>69</v>
      </c>
      <c r="I358" t="s">
        <v>70</v>
      </c>
      <c r="J358" t="s">
        <v>55</v>
      </c>
      <c r="K358" t="s">
        <v>80</v>
      </c>
      <c r="L358" t="s">
        <v>1188</v>
      </c>
      <c r="M358" t="s">
        <v>64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125</v>
      </c>
      <c r="U358" t="s">
        <v>117</v>
      </c>
      <c r="V358" t="str">
        <f t="shared" si="49"/>
        <v>Valid</v>
      </c>
      <c r="W358">
        <f t="shared" si="50"/>
        <v>2</v>
      </c>
      <c r="Y358" t="str">
        <f t="shared" si="51"/>
        <v>OK</v>
      </c>
      <c r="Z358" t="str">
        <f t="shared" si="52"/>
        <v>OK</v>
      </c>
      <c r="AA358" t="str">
        <f t="shared" si="53"/>
        <v>OK</v>
      </c>
      <c r="AB358" t="str">
        <f t="shared" si="54"/>
        <v>Valid</v>
      </c>
      <c r="AC358" t="str">
        <f>IF(OR(AB358="Invalid Discount",V358="Invalid Shipping"),
"Invalid",
IF(OR(Y358="Missing Region",
Z358="Missing Ship Mode",
AA358="Missing Discount",
X358="Flagged for Review"),
"Warning",
"Clean"))</f>
        <v>Clean</v>
      </c>
      <c r="AD358">
        <f t="shared" si="55"/>
        <v>0.2</v>
      </c>
      <c r="AE358">
        <f>N358*O358*(1-AD358)</f>
        <v>2486.8000000000002</v>
      </c>
      <c r="AF358">
        <f>AE358-R358</f>
        <v>355.07000000000016</v>
      </c>
      <c r="AG358" s="3">
        <f t="shared" si="56"/>
        <v>0.1427818883705968</v>
      </c>
      <c r="AH358" t="str">
        <f t="shared" si="57"/>
        <v>June</v>
      </c>
      <c r="AI358">
        <f t="shared" si="58"/>
        <v>2025</v>
      </c>
    </row>
    <row r="359" spans="1:35">
      <c r="A359" t="s">
        <v>1189</v>
      </c>
      <c r="B359" s="2">
        <v>45678</v>
      </c>
      <c r="C359" s="2">
        <v>45686</v>
      </c>
      <c r="D359" t="s">
        <v>1190</v>
      </c>
      <c r="E359" t="s">
        <v>50</v>
      </c>
      <c r="F359" t="s">
        <v>109</v>
      </c>
      <c r="G359" t="s">
        <v>68</v>
      </c>
      <c r="H359" t="s">
        <v>98</v>
      </c>
      <c r="I359" t="s">
        <v>99</v>
      </c>
      <c r="J359" t="s">
        <v>88</v>
      </c>
      <c r="K359" t="s">
        <v>289</v>
      </c>
      <c r="L359" t="s">
        <v>1191</v>
      </c>
      <c r="M359" t="s">
        <v>45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46</v>
      </c>
      <c r="U359" t="s">
        <v>82</v>
      </c>
      <c r="V359" t="str">
        <f t="shared" si="49"/>
        <v>Valid</v>
      </c>
      <c r="W359">
        <f t="shared" si="50"/>
        <v>8</v>
      </c>
      <c r="Y359" t="str">
        <f t="shared" si="51"/>
        <v>OK</v>
      </c>
      <c r="Z359" t="str">
        <f t="shared" si="52"/>
        <v>OK</v>
      </c>
      <c r="AA359" t="str">
        <f t="shared" si="53"/>
        <v>OK</v>
      </c>
      <c r="AB359" t="str">
        <f t="shared" si="54"/>
        <v>Valid</v>
      </c>
      <c r="AC359" t="str">
        <f>IF(OR(AB359="Invalid Discount",V359="Invalid Shipping"),
"Invalid",
IF(OR(Y359="Missing Region",
Z359="Missing Ship Mode",
AA359="Missing Discount",
X359="Flagged for Review"),
"Warning",
"Clean"))</f>
        <v>Clean</v>
      </c>
      <c r="AD359">
        <f t="shared" si="55"/>
        <v>0</v>
      </c>
      <c r="AE359">
        <f>N359*O359*(1-AD359)</f>
        <v>4369.04</v>
      </c>
      <c r="AF359">
        <f>AE359-R359</f>
        <v>652.15999999999985</v>
      </c>
      <c r="AG359" s="3">
        <f t="shared" si="56"/>
        <v>0.14926848918755603</v>
      </c>
      <c r="AH359" t="str">
        <f t="shared" si="57"/>
        <v>January</v>
      </c>
      <c r="AI359">
        <f t="shared" si="58"/>
        <v>2025</v>
      </c>
    </row>
    <row r="360" spans="1:35">
      <c r="A360" t="s">
        <v>1192</v>
      </c>
      <c r="B360" s="2">
        <v>45878</v>
      </c>
      <c r="C360" s="2">
        <v>45876</v>
      </c>
      <c r="D360" t="s">
        <v>1193</v>
      </c>
      <c r="E360" t="s">
        <v>85</v>
      </c>
      <c r="F360" t="s">
        <v>109</v>
      </c>
      <c r="G360" t="s">
        <v>77</v>
      </c>
      <c r="H360" t="s">
        <v>194</v>
      </c>
      <c r="I360" t="s">
        <v>195</v>
      </c>
      <c r="J360" t="s">
        <v>55</v>
      </c>
      <c r="K360" t="s">
        <v>172</v>
      </c>
      <c r="L360" t="s">
        <v>1194</v>
      </c>
      <c r="M360" t="s">
        <v>45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125</v>
      </c>
      <c r="U360" t="s">
        <v>117</v>
      </c>
      <c r="V360" t="str">
        <f t="shared" si="49"/>
        <v>Invalid Shipping</v>
      </c>
      <c r="W360">
        <f t="shared" si="50"/>
        <v>-2</v>
      </c>
      <c r="Y360" t="str">
        <f t="shared" si="51"/>
        <v>OK</v>
      </c>
      <c r="Z360" t="str">
        <f t="shared" si="52"/>
        <v>OK</v>
      </c>
      <c r="AA360" t="str">
        <f t="shared" si="53"/>
        <v>OK</v>
      </c>
      <c r="AB360" t="str">
        <f t="shared" si="54"/>
        <v>Valid</v>
      </c>
      <c r="AC360" t="str">
        <f>IF(OR(AB360="Invalid Discount",V360="Invalid Shipping"),
"Invalid",
IF(OR(Y360="Missing Region",
Z360="Missing Ship Mode",
AA360="Missing Discount",
X360="Flagged for Review"),
"Warning",
"Clean"))</f>
        <v>Invalid</v>
      </c>
      <c r="AD360">
        <f t="shared" si="55"/>
        <v>0.05</v>
      </c>
      <c r="AE360">
        <f>N360*O360*(1-AD360)</f>
        <v>5956.12</v>
      </c>
      <c r="AF360">
        <f>AE360-R360</f>
        <v>1576.9399999999996</v>
      </c>
      <c r="AG360" s="3">
        <f t="shared" si="56"/>
        <v>0.26475960860425907</v>
      </c>
      <c r="AH360" t="str">
        <f t="shared" si="57"/>
        <v>August</v>
      </c>
      <c r="AI360">
        <f t="shared" si="58"/>
        <v>2025</v>
      </c>
    </row>
    <row r="361" spans="1:35">
      <c r="A361" t="s">
        <v>1195</v>
      </c>
      <c r="B361" s="2">
        <v>45525</v>
      </c>
      <c r="C361" s="2">
        <v>45526</v>
      </c>
      <c r="D361" t="s">
        <v>1196</v>
      </c>
      <c r="E361" t="s">
        <v>61</v>
      </c>
      <c r="F361" t="s">
        <v>38</v>
      </c>
      <c r="G361" t="s">
        <v>68</v>
      </c>
      <c r="H361" t="s">
        <v>262</v>
      </c>
      <c r="I361" t="s">
        <v>263</v>
      </c>
      <c r="J361" t="s">
        <v>88</v>
      </c>
      <c r="K361" t="s">
        <v>185</v>
      </c>
      <c r="L361" t="s">
        <v>1197</v>
      </c>
      <c r="M361" t="s">
        <v>58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46</v>
      </c>
      <c r="U361" t="s">
        <v>47</v>
      </c>
      <c r="V361" t="str">
        <f t="shared" si="49"/>
        <v>Valid</v>
      </c>
      <c r="W361">
        <f t="shared" si="50"/>
        <v>1</v>
      </c>
      <c r="Y361" t="str">
        <f t="shared" si="51"/>
        <v>OK</v>
      </c>
      <c r="Z361" t="str">
        <f t="shared" si="52"/>
        <v>OK</v>
      </c>
      <c r="AA361" t="str">
        <f t="shared" si="53"/>
        <v>OK</v>
      </c>
      <c r="AB361" t="str">
        <f t="shared" si="54"/>
        <v>Valid</v>
      </c>
      <c r="AC361" t="str">
        <f>IF(OR(AB361="Invalid Discount",V361="Invalid Shipping"),
"Invalid",
IF(OR(Y361="Missing Region",
Z361="Missing Ship Mode",
AA361="Missing Discount",
X361="Flagged for Review"),
"Warning",
"Clean"))</f>
        <v>Clean</v>
      </c>
      <c r="AD361">
        <f t="shared" si="55"/>
        <v>0.1</v>
      </c>
      <c r="AE361">
        <f>N361*O361*(1-AD361)</f>
        <v>4997.3760000000002</v>
      </c>
      <c r="AF361">
        <f>AE361-R361</f>
        <v>2025.9860000000003</v>
      </c>
      <c r="AG361" s="3">
        <f t="shared" si="56"/>
        <v>0.40540995914656014</v>
      </c>
      <c r="AH361" t="str">
        <f t="shared" si="57"/>
        <v>August</v>
      </c>
      <c r="AI361">
        <f t="shared" si="58"/>
        <v>2024</v>
      </c>
    </row>
    <row r="362" spans="1:35">
      <c r="A362" t="s">
        <v>1198</v>
      </c>
      <c r="B362" s="2">
        <v>45460</v>
      </c>
      <c r="C362" s="2">
        <v>45463</v>
      </c>
      <c r="D362" t="s">
        <v>1199</v>
      </c>
      <c r="E362" t="s">
        <v>146</v>
      </c>
      <c r="F362" t="s">
        <v>51</v>
      </c>
      <c r="G362" t="s">
        <v>77</v>
      </c>
      <c r="H362" t="s">
        <v>194</v>
      </c>
      <c r="I362" t="s">
        <v>195</v>
      </c>
      <c r="J362" t="s">
        <v>55</v>
      </c>
      <c r="K362" t="s">
        <v>71</v>
      </c>
      <c r="L362" t="s">
        <v>1200</v>
      </c>
      <c r="M362" t="s">
        <v>73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116</v>
      </c>
      <c r="U362" t="s">
        <v>82</v>
      </c>
      <c r="V362" t="str">
        <f t="shared" si="49"/>
        <v>Valid</v>
      </c>
      <c r="W362">
        <f t="shared" si="50"/>
        <v>3</v>
      </c>
      <c r="Y362" t="str">
        <f t="shared" si="51"/>
        <v>OK</v>
      </c>
      <c r="Z362" t="str">
        <f t="shared" si="52"/>
        <v>OK</v>
      </c>
      <c r="AA362" t="str">
        <f t="shared" si="53"/>
        <v>OK</v>
      </c>
      <c r="AB362" t="str">
        <f t="shared" si="54"/>
        <v>Valid</v>
      </c>
      <c r="AC362" t="str">
        <f>IF(OR(AB362="Invalid Discount",V362="Invalid Shipping"),
"Invalid",
IF(OR(Y362="Missing Region",
Z362="Missing Ship Mode",
AA362="Missing Discount",
X362="Flagged for Review"),
"Warning",
"Clean"))</f>
        <v>Clean</v>
      </c>
      <c r="AD362">
        <f t="shared" si="55"/>
        <v>0.2</v>
      </c>
      <c r="AE362">
        <f>N362*O362*(1-AD362)</f>
        <v>17669.400000000001</v>
      </c>
      <c r="AF362">
        <f>AE362-R362</f>
        <v>3950.630000000001</v>
      </c>
      <c r="AG362" s="3">
        <f t="shared" si="56"/>
        <v>0.2235859734908939</v>
      </c>
      <c r="AH362" t="str">
        <f t="shared" si="57"/>
        <v>June</v>
      </c>
      <c r="AI362">
        <f t="shared" si="58"/>
        <v>2024</v>
      </c>
    </row>
    <row r="363" spans="1:35">
      <c r="A363" t="s">
        <v>1201</v>
      </c>
      <c r="B363" s="2">
        <v>45748</v>
      </c>
      <c r="C363" s="2">
        <v>45749</v>
      </c>
      <c r="D363" t="s">
        <v>1202</v>
      </c>
      <c r="E363" t="s">
        <v>155</v>
      </c>
      <c r="F363" t="s">
        <v>104</v>
      </c>
      <c r="G363" t="s">
        <v>52</v>
      </c>
      <c r="H363" t="s">
        <v>53</v>
      </c>
      <c r="I363" t="s">
        <v>54</v>
      </c>
      <c r="J363" t="s">
        <v>55</v>
      </c>
      <c r="K363" t="s">
        <v>80</v>
      </c>
      <c r="L363" t="s">
        <v>1203</v>
      </c>
      <c r="M363" t="s">
        <v>45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125</v>
      </c>
      <c r="U363" t="s">
        <v>117</v>
      </c>
      <c r="V363" t="str">
        <f t="shared" si="49"/>
        <v>Valid</v>
      </c>
      <c r="W363">
        <f t="shared" si="50"/>
        <v>1</v>
      </c>
      <c r="Y363" t="str">
        <f t="shared" si="51"/>
        <v>OK</v>
      </c>
      <c r="Z363" t="str">
        <f t="shared" si="52"/>
        <v>OK</v>
      </c>
      <c r="AA363" t="str">
        <f t="shared" si="53"/>
        <v>OK</v>
      </c>
      <c r="AB363" t="str">
        <f t="shared" si="54"/>
        <v>Valid</v>
      </c>
      <c r="AC363" t="str">
        <f>IF(OR(AB363="Invalid Discount",V363="Invalid Shipping"),
"Invalid",
IF(OR(Y363="Missing Region",
Z363="Missing Ship Mode",
AA363="Missing Discount",
X363="Flagged for Review"),
"Warning",
"Clean"))</f>
        <v>Clean</v>
      </c>
      <c r="AD363">
        <f t="shared" si="55"/>
        <v>0.05</v>
      </c>
      <c r="AE363">
        <f>N363*O363*(1-AD363)</f>
        <v>35615.709000000003</v>
      </c>
      <c r="AF363">
        <f>AE363-R363</f>
        <v>15225.999000000003</v>
      </c>
      <c r="AG363" s="3">
        <f t="shared" si="56"/>
        <v>0.42750795723314122</v>
      </c>
      <c r="AH363" t="str">
        <f t="shared" si="57"/>
        <v>April</v>
      </c>
      <c r="AI363">
        <f t="shared" si="58"/>
        <v>2025</v>
      </c>
    </row>
    <row r="364" spans="1:35">
      <c r="A364" t="s">
        <v>1204</v>
      </c>
      <c r="B364" s="2">
        <v>45527</v>
      </c>
      <c r="C364" s="2">
        <v>45529</v>
      </c>
      <c r="D364" t="s">
        <v>1205</v>
      </c>
      <c r="E364" t="s">
        <v>85</v>
      </c>
      <c r="F364" t="s">
        <v>38</v>
      </c>
      <c r="G364" t="s">
        <v>77</v>
      </c>
      <c r="H364" t="s">
        <v>204</v>
      </c>
      <c r="I364" t="s">
        <v>205</v>
      </c>
      <c r="J364" t="s">
        <v>88</v>
      </c>
      <c r="K364" t="s">
        <v>289</v>
      </c>
      <c r="L364" t="s">
        <v>1206</v>
      </c>
      <c r="M364" t="s">
        <v>58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46</v>
      </c>
      <c r="U364" t="s">
        <v>47</v>
      </c>
      <c r="V364" t="str">
        <f t="shared" si="49"/>
        <v>Valid</v>
      </c>
      <c r="W364">
        <f t="shared" si="50"/>
        <v>2</v>
      </c>
      <c r="Y364" t="str">
        <f t="shared" si="51"/>
        <v>OK</v>
      </c>
      <c r="Z364" t="str">
        <f t="shared" si="52"/>
        <v>OK</v>
      </c>
      <c r="AA364" t="str">
        <f t="shared" si="53"/>
        <v>OK</v>
      </c>
      <c r="AB364" t="str">
        <f t="shared" si="54"/>
        <v>Valid</v>
      </c>
      <c r="AC364" t="str">
        <f>IF(OR(AB364="Invalid Discount",V364="Invalid Shipping"),
"Invalid",
IF(OR(Y364="Missing Region",
Z364="Missing Ship Mode",
AA364="Missing Discount",
X364="Flagged for Review"),
"Warning",
"Clean"))</f>
        <v>Clean</v>
      </c>
      <c r="AD364">
        <f t="shared" si="55"/>
        <v>0.05</v>
      </c>
      <c r="AE364">
        <f>N364*O364*(1-AD364)</f>
        <v>1866.4079999999999</v>
      </c>
      <c r="AF364">
        <f>AE364-R364</f>
        <v>289.91799999999989</v>
      </c>
      <c r="AG364" s="3">
        <f t="shared" si="56"/>
        <v>0.15533473924243782</v>
      </c>
      <c r="AH364" t="str">
        <f t="shared" si="57"/>
        <v>August</v>
      </c>
      <c r="AI364">
        <f t="shared" si="58"/>
        <v>2024</v>
      </c>
    </row>
    <row r="365" spans="1:35">
      <c r="A365" t="s">
        <v>1207</v>
      </c>
      <c r="B365" s="2">
        <v>45845</v>
      </c>
      <c r="C365" s="2">
        <v>45850</v>
      </c>
      <c r="D365" t="s">
        <v>1208</v>
      </c>
      <c r="E365" t="s">
        <v>176</v>
      </c>
      <c r="F365" t="s">
        <v>104</v>
      </c>
      <c r="G365" t="s">
        <v>52</v>
      </c>
      <c r="H365" t="s">
        <v>113</v>
      </c>
      <c r="I365" t="s">
        <v>114</v>
      </c>
      <c r="J365" t="s">
        <v>55</v>
      </c>
      <c r="K365" t="s">
        <v>56</v>
      </c>
      <c r="L365" t="s">
        <v>1209</v>
      </c>
      <c r="M365" t="s">
        <v>45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46</v>
      </c>
      <c r="U365" t="s">
        <v>47</v>
      </c>
      <c r="V365" t="str">
        <f t="shared" si="49"/>
        <v>Valid</v>
      </c>
      <c r="W365">
        <f t="shared" si="50"/>
        <v>5</v>
      </c>
      <c r="Y365" t="str">
        <f t="shared" si="51"/>
        <v>OK</v>
      </c>
      <c r="Z365" t="str">
        <f t="shared" si="52"/>
        <v>OK</v>
      </c>
      <c r="AA365" t="str">
        <f t="shared" si="53"/>
        <v>OK</v>
      </c>
      <c r="AB365" t="str">
        <f t="shared" si="54"/>
        <v>Valid</v>
      </c>
      <c r="AC365" t="str">
        <f>IF(OR(AB365="Invalid Discount",V365="Invalid Shipping"),
"Invalid",
IF(OR(Y365="Missing Region",
Z365="Missing Ship Mode",
AA365="Missing Discount",
X365="Flagged for Review"),
"Warning",
"Clean"))</f>
        <v>Clean</v>
      </c>
      <c r="AD365">
        <f t="shared" si="55"/>
        <v>0.25</v>
      </c>
      <c r="AE365">
        <f>N365*O365*(1-AD365)</f>
        <v>6867.6374999999989</v>
      </c>
      <c r="AF365">
        <f>AE365-R365</f>
        <v>1662.2774999999992</v>
      </c>
      <c r="AG365" s="3">
        <f t="shared" si="56"/>
        <v>0.24204502640100028</v>
      </c>
      <c r="AH365" t="str">
        <f t="shared" si="57"/>
        <v>July</v>
      </c>
      <c r="AI365">
        <f t="shared" si="58"/>
        <v>2025</v>
      </c>
    </row>
    <row r="366" spans="1:35">
      <c r="A366" t="s">
        <v>1210</v>
      </c>
      <c r="B366" s="2">
        <v>45737</v>
      </c>
      <c r="C366" s="2">
        <v>45740</v>
      </c>
      <c r="D366" t="s">
        <v>1211</v>
      </c>
      <c r="E366" t="s">
        <v>142</v>
      </c>
      <c r="F366" t="s">
        <v>51</v>
      </c>
      <c r="G366" t="s">
        <v>68</v>
      </c>
      <c r="H366" t="s">
        <v>98</v>
      </c>
      <c r="I366" t="s">
        <v>99</v>
      </c>
      <c r="J366" t="s">
        <v>55</v>
      </c>
      <c r="K366" t="s">
        <v>80</v>
      </c>
      <c r="L366" t="s">
        <v>1212</v>
      </c>
      <c r="M366" t="s">
        <v>45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46</v>
      </c>
      <c r="U366" t="s">
        <v>47</v>
      </c>
      <c r="V366" t="str">
        <f t="shared" si="49"/>
        <v>Valid</v>
      </c>
      <c r="W366">
        <f t="shared" si="50"/>
        <v>3</v>
      </c>
      <c r="Y366" t="str">
        <f t="shared" si="51"/>
        <v>OK</v>
      </c>
      <c r="Z366" t="str">
        <f t="shared" si="52"/>
        <v>OK</v>
      </c>
      <c r="AA366" t="str">
        <f t="shared" si="53"/>
        <v>OK</v>
      </c>
      <c r="AB366" t="str">
        <f t="shared" si="54"/>
        <v>Valid</v>
      </c>
      <c r="AC366" t="str">
        <f>IF(OR(AB366="Invalid Discount",V366="Invalid Shipping"),
"Invalid",
IF(OR(Y366="Missing Region",
Z366="Missing Ship Mode",
AA366="Missing Discount",
X366="Flagged for Review"),
"Warning",
"Clean"))</f>
        <v>Clean</v>
      </c>
      <c r="AD366">
        <f t="shared" si="55"/>
        <v>0</v>
      </c>
      <c r="AE366">
        <f>N366*O366*(1-AD366)</f>
        <v>6195.75</v>
      </c>
      <c r="AF366">
        <f>AE366-R366</f>
        <v>2228.73</v>
      </c>
      <c r="AG366" s="3">
        <f t="shared" si="56"/>
        <v>0.35971916232901585</v>
      </c>
      <c r="AH366" t="str">
        <f t="shared" si="57"/>
        <v>March</v>
      </c>
      <c r="AI366">
        <f t="shared" si="58"/>
        <v>2025</v>
      </c>
    </row>
    <row r="367" spans="1:35">
      <c r="A367" t="s">
        <v>1213</v>
      </c>
      <c r="B367" s="2">
        <v>45458</v>
      </c>
      <c r="C367" s="2">
        <v>45464</v>
      </c>
      <c r="D367" t="s">
        <v>1214</v>
      </c>
      <c r="E367" t="s">
        <v>103</v>
      </c>
      <c r="F367" t="s">
        <v>104</v>
      </c>
      <c r="G367" t="s">
        <v>77</v>
      </c>
      <c r="H367" t="s">
        <v>204</v>
      </c>
      <c r="I367" t="s">
        <v>205</v>
      </c>
      <c r="J367" t="s">
        <v>88</v>
      </c>
      <c r="K367" t="s">
        <v>89</v>
      </c>
      <c r="L367" t="s">
        <v>1215</v>
      </c>
      <c r="M367" t="s">
        <v>64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46</v>
      </c>
      <c r="U367" t="s">
        <v>47</v>
      </c>
      <c r="V367" t="str">
        <f t="shared" si="49"/>
        <v>Valid</v>
      </c>
      <c r="W367">
        <f t="shared" si="50"/>
        <v>6</v>
      </c>
      <c r="Y367" t="str">
        <f t="shared" si="51"/>
        <v>OK</v>
      </c>
      <c r="Z367" t="str">
        <f t="shared" si="52"/>
        <v>OK</v>
      </c>
      <c r="AA367" t="str">
        <f t="shared" si="53"/>
        <v>Missing Discount</v>
      </c>
      <c r="AB367" t="str">
        <f t="shared" si="54"/>
        <v>Valid</v>
      </c>
      <c r="AC367" t="str">
        <f>IF(OR(AB367="Invalid Discount",V367="Invalid Shipping"),
"Invalid",
IF(OR(Y367="Missing Region",
Z367="Missing Ship Mode",
AA367="Missing Discount",
X367="Flagged for Review"),
"Warning",
"Clean"))</f>
        <v>Warning</v>
      </c>
      <c r="AD367">
        <f t="shared" si="55"/>
        <v>0</v>
      </c>
      <c r="AE367">
        <f>N367*O367*(1-AD367)</f>
        <v>13651.2</v>
      </c>
      <c r="AF367">
        <f>AE367-R367</f>
        <v>3531.59</v>
      </c>
      <c r="AG367" s="3">
        <f t="shared" si="56"/>
        <v>0.2587017991092358</v>
      </c>
      <c r="AH367" t="str">
        <f t="shared" si="57"/>
        <v>June</v>
      </c>
      <c r="AI367">
        <f t="shared" si="58"/>
        <v>2024</v>
      </c>
    </row>
    <row r="368" spans="1:35">
      <c r="A368" t="s">
        <v>1216</v>
      </c>
      <c r="B368" s="2">
        <v>45673</v>
      </c>
      <c r="C368" s="2">
        <v>45679</v>
      </c>
      <c r="D368" t="s">
        <v>1217</v>
      </c>
      <c r="E368" t="s">
        <v>146</v>
      </c>
      <c r="F368" t="s">
        <v>104</v>
      </c>
      <c r="G368" t="s">
        <v>39</v>
      </c>
      <c r="H368" t="s">
        <v>40</v>
      </c>
      <c r="I368" t="s">
        <v>41</v>
      </c>
      <c r="J368" t="s">
        <v>55</v>
      </c>
      <c r="K368" t="s">
        <v>56</v>
      </c>
      <c r="L368" t="s">
        <v>1218</v>
      </c>
      <c r="M368" t="s">
        <v>58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46</v>
      </c>
      <c r="U368" t="s">
        <v>47</v>
      </c>
      <c r="V368" t="str">
        <f t="shared" si="49"/>
        <v>Valid</v>
      </c>
      <c r="W368">
        <f t="shared" si="50"/>
        <v>6</v>
      </c>
      <c r="Y368" t="str">
        <f t="shared" si="51"/>
        <v>OK</v>
      </c>
      <c r="Z368" t="str">
        <f t="shared" si="52"/>
        <v>OK</v>
      </c>
      <c r="AA368" t="str">
        <f t="shared" si="53"/>
        <v>OK</v>
      </c>
      <c r="AB368" t="str">
        <f t="shared" si="54"/>
        <v>Valid</v>
      </c>
      <c r="AC368" t="str">
        <f>IF(OR(AB368="Invalid Discount",V368="Invalid Shipping"),
"Invalid",
IF(OR(Y368="Missing Region",
Z368="Missing Ship Mode",
AA368="Missing Discount",
X368="Flagged for Review"),
"Warning",
"Clean"))</f>
        <v>Clean</v>
      </c>
      <c r="AD368">
        <f t="shared" si="55"/>
        <v>0</v>
      </c>
      <c r="AE368">
        <f>N368*O368*(1-AD368)</f>
        <v>8836.56</v>
      </c>
      <c r="AF368">
        <f>AE368-R368</f>
        <v>2968.8099999999995</v>
      </c>
      <c r="AG368" s="3">
        <f t="shared" si="56"/>
        <v>0.33596897435201023</v>
      </c>
      <c r="AH368" t="str">
        <f t="shared" si="57"/>
        <v>January</v>
      </c>
      <c r="AI368">
        <f t="shared" si="58"/>
        <v>2025</v>
      </c>
    </row>
    <row r="369" spans="1:35">
      <c r="A369" t="s">
        <v>1219</v>
      </c>
      <c r="B369" s="2">
        <v>45366</v>
      </c>
      <c r="C369" s="2">
        <v>45367</v>
      </c>
      <c r="D369" t="s">
        <v>1220</v>
      </c>
      <c r="E369" t="s">
        <v>155</v>
      </c>
      <c r="F369" t="s">
        <v>38</v>
      </c>
      <c r="G369" t="s">
        <v>39</v>
      </c>
      <c r="H369" t="s">
        <v>365</v>
      </c>
      <c r="I369" t="s">
        <v>366</v>
      </c>
      <c r="J369" t="s">
        <v>42</v>
      </c>
      <c r="K369" t="s">
        <v>62</v>
      </c>
      <c r="L369" t="s">
        <v>1221</v>
      </c>
      <c r="M369" t="s">
        <v>73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169</v>
      </c>
      <c r="U369" t="s">
        <v>82</v>
      </c>
      <c r="V369" t="str">
        <f t="shared" si="49"/>
        <v>Valid</v>
      </c>
      <c r="W369">
        <f t="shared" si="50"/>
        <v>1</v>
      </c>
      <c r="Y369" t="str">
        <f t="shared" si="51"/>
        <v>OK</v>
      </c>
      <c r="Z369" t="str">
        <f t="shared" si="52"/>
        <v>OK</v>
      </c>
      <c r="AA369" t="str">
        <f t="shared" si="53"/>
        <v>OK</v>
      </c>
      <c r="AB369" t="str">
        <f t="shared" si="54"/>
        <v>Valid</v>
      </c>
      <c r="AC369" t="str">
        <f>IF(OR(AB369="Invalid Discount",V369="Invalid Shipping"),
"Invalid",
IF(OR(Y369="Missing Region",
Z369="Missing Ship Mode",
AA369="Missing Discount",
X369="Flagged for Review"),
"Warning",
"Clean"))</f>
        <v>Clean</v>
      </c>
      <c r="AD369">
        <f t="shared" si="55"/>
        <v>0.15</v>
      </c>
      <c r="AE369">
        <f>N369*O369*(1-AD369)</f>
        <v>19456.958999999999</v>
      </c>
      <c r="AF369">
        <f>AE369-R369</f>
        <v>4936.8989999999994</v>
      </c>
      <c r="AG369" s="3">
        <f t="shared" si="56"/>
        <v>0.25373435797443988</v>
      </c>
      <c r="AH369" t="str">
        <f t="shared" si="57"/>
        <v>March</v>
      </c>
      <c r="AI369">
        <f t="shared" si="58"/>
        <v>2024</v>
      </c>
    </row>
    <row r="370" spans="1:35">
      <c r="A370" t="s">
        <v>1222</v>
      </c>
      <c r="B370" s="2">
        <v>45844</v>
      </c>
      <c r="C370" s="2">
        <v>45844</v>
      </c>
      <c r="D370" t="s">
        <v>1223</v>
      </c>
      <c r="E370" t="s">
        <v>142</v>
      </c>
      <c r="F370" t="s">
        <v>109</v>
      </c>
      <c r="G370" t="s">
        <v>39</v>
      </c>
      <c r="H370" t="s">
        <v>40</v>
      </c>
      <c r="I370" t="s">
        <v>41</v>
      </c>
      <c r="J370" t="s">
        <v>88</v>
      </c>
      <c r="K370" t="s">
        <v>89</v>
      </c>
      <c r="L370" t="s">
        <v>1224</v>
      </c>
      <c r="M370" t="s">
        <v>58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116</v>
      </c>
      <c r="U370" t="s">
        <v>117</v>
      </c>
      <c r="V370" t="str">
        <f t="shared" si="49"/>
        <v>Valid</v>
      </c>
      <c r="W370">
        <f t="shared" si="50"/>
        <v>0</v>
      </c>
      <c r="Y370" t="str">
        <f t="shared" si="51"/>
        <v>OK</v>
      </c>
      <c r="Z370" t="str">
        <f t="shared" si="52"/>
        <v>OK</v>
      </c>
      <c r="AA370" t="str">
        <f t="shared" si="53"/>
        <v>OK</v>
      </c>
      <c r="AB370" t="str">
        <f t="shared" si="54"/>
        <v>Valid</v>
      </c>
      <c r="AC370" t="str">
        <f>IF(OR(AB370="Invalid Discount",V370="Invalid Shipping"),
"Invalid",
IF(OR(Y370="Missing Region",
Z370="Missing Ship Mode",
AA370="Missing Discount",
X370="Flagged for Review"),
"Warning",
"Clean"))</f>
        <v>Clean</v>
      </c>
      <c r="AD370">
        <f t="shared" si="55"/>
        <v>0.05</v>
      </c>
      <c r="AE370">
        <f>N370*O370*(1-AD370)</f>
        <v>2079.2745</v>
      </c>
      <c r="AF370">
        <f>AE370-R370</f>
        <v>567.10449999999992</v>
      </c>
      <c r="AG370" s="3">
        <f t="shared" si="56"/>
        <v>0.27274152595051782</v>
      </c>
      <c r="AH370" t="str">
        <f t="shared" si="57"/>
        <v>July</v>
      </c>
      <c r="AI370">
        <f t="shared" si="58"/>
        <v>2025</v>
      </c>
    </row>
    <row r="371" spans="1:35">
      <c r="A371" t="s">
        <v>1225</v>
      </c>
      <c r="B371" s="2">
        <v>45680</v>
      </c>
      <c r="C371" s="2">
        <v>45687</v>
      </c>
      <c r="D371" t="s">
        <v>1226</v>
      </c>
      <c r="E371" t="s">
        <v>128</v>
      </c>
      <c r="F371" t="s">
        <v>38</v>
      </c>
      <c r="G371" t="s">
        <v>39</v>
      </c>
      <c r="H371" t="s">
        <v>365</v>
      </c>
      <c r="I371" t="s">
        <v>366</v>
      </c>
      <c r="J371" t="s">
        <v>42</v>
      </c>
      <c r="K371" t="s">
        <v>105</v>
      </c>
      <c r="L371" t="s">
        <v>1227</v>
      </c>
      <c r="M371" t="s">
        <v>73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46</v>
      </c>
      <c r="U371" t="s">
        <v>47</v>
      </c>
      <c r="V371" t="str">
        <f t="shared" si="49"/>
        <v>Valid</v>
      </c>
      <c r="W371">
        <f t="shared" si="50"/>
        <v>7</v>
      </c>
      <c r="Y371" t="str">
        <f t="shared" si="51"/>
        <v>OK</v>
      </c>
      <c r="Z371" t="str">
        <f t="shared" si="52"/>
        <v>OK</v>
      </c>
      <c r="AA371" t="str">
        <f t="shared" si="53"/>
        <v>OK</v>
      </c>
      <c r="AB371" t="str">
        <f t="shared" si="54"/>
        <v>Valid</v>
      </c>
      <c r="AC371" t="str">
        <f>IF(OR(AB371="Invalid Discount",V371="Invalid Shipping"),
"Invalid",
IF(OR(Y371="Missing Region",
Z371="Missing Ship Mode",
AA371="Missing Discount",
X371="Flagged for Review"),
"Warning",
"Clean"))</f>
        <v>Clean</v>
      </c>
      <c r="AD371">
        <f t="shared" si="55"/>
        <v>0.15</v>
      </c>
      <c r="AE371">
        <f>N371*O371*(1-AD371)</f>
        <v>8945.6804999999986</v>
      </c>
      <c r="AF371">
        <f>AE371-R371</f>
        <v>2205.3304999999982</v>
      </c>
      <c r="AG371" s="3">
        <f t="shared" si="56"/>
        <v>0.24652462157574245</v>
      </c>
      <c r="AH371" t="str">
        <f t="shared" si="57"/>
        <v>January</v>
      </c>
      <c r="AI371">
        <f t="shared" si="58"/>
        <v>2025</v>
      </c>
    </row>
    <row r="372" spans="1:35">
      <c r="A372" t="s">
        <v>1228</v>
      </c>
      <c r="B372" s="2">
        <v>45519</v>
      </c>
      <c r="C372" s="2">
        <v>45525</v>
      </c>
      <c r="D372" t="s">
        <v>1229</v>
      </c>
      <c r="E372" t="s">
        <v>76</v>
      </c>
      <c r="F372" t="s">
        <v>51</v>
      </c>
      <c r="G372" t="s">
        <v>77</v>
      </c>
      <c r="H372" t="s">
        <v>40</v>
      </c>
      <c r="I372" t="s">
        <v>123</v>
      </c>
      <c r="J372" t="s">
        <v>88</v>
      </c>
      <c r="K372" t="s">
        <v>94</v>
      </c>
      <c r="L372" t="s">
        <v>1230</v>
      </c>
      <c r="M372" t="s">
        <v>64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46</v>
      </c>
      <c r="U372" t="s">
        <v>47</v>
      </c>
      <c r="V372" t="str">
        <f t="shared" si="49"/>
        <v>Valid</v>
      </c>
      <c r="W372">
        <f t="shared" si="50"/>
        <v>6</v>
      </c>
      <c r="Y372" t="str">
        <f t="shared" si="51"/>
        <v>OK</v>
      </c>
      <c r="Z372" t="str">
        <f t="shared" si="52"/>
        <v>OK</v>
      </c>
      <c r="AA372" t="str">
        <f t="shared" si="53"/>
        <v>OK</v>
      </c>
      <c r="AB372" t="str">
        <f t="shared" si="54"/>
        <v>Valid</v>
      </c>
      <c r="AC372" t="str">
        <f>IF(OR(AB372="Invalid Discount",V372="Invalid Shipping"),
"Invalid",
IF(OR(Y372="Missing Region",
Z372="Missing Ship Mode",
AA372="Missing Discount",
X372="Flagged for Review"),
"Warning",
"Clean"))</f>
        <v>Clean</v>
      </c>
      <c r="AD372">
        <f t="shared" si="55"/>
        <v>0.2</v>
      </c>
      <c r="AE372">
        <f>N372*O372*(1-AD372)</f>
        <v>13069.336000000001</v>
      </c>
      <c r="AF372">
        <f>AE372-R372</f>
        <v>4300.746000000001</v>
      </c>
      <c r="AG372" s="3">
        <f t="shared" si="56"/>
        <v>0.32907149988339124</v>
      </c>
      <c r="AH372" t="str">
        <f t="shared" si="57"/>
        <v>August</v>
      </c>
      <c r="AI372">
        <f t="shared" si="58"/>
        <v>2024</v>
      </c>
    </row>
    <row r="373" spans="1:35">
      <c r="A373" t="s">
        <v>1231</v>
      </c>
      <c r="B373" s="2">
        <v>45313</v>
      </c>
      <c r="C373" s="2">
        <v>45315</v>
      </c>
      <c r="D373" t="s">
        <v>1232</v>
      </c>
      <c r="E373" t="s">
        <v>176</v>
      </c>
      <c r="F373" t="s">
        <v>109</v>
      </c>
      <c r="G373" t="s">
        <v>77</v>
      </c>
      <c r="H373" t="s">
        <v>78</v>
      </c>
      <c r="I373" t="s">
        <v>79</v>
      </c>
      <c r="J373" t="s">
        <v>42</v>
      </c>
      <c r="K373" t="s">
        <v>62</v>
      </c>
      <c r="L373" t="s">
        <v>1233</v>
      </c>
      <c r="M373" t="s">
        <v>73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116</v>
      </c>
      <c r="U373" t="s">
        <v>82</v>
      </c>
      <c r="V373" t="str">
        <f t="shared" si="49"/>
        <v>Valid</v>
      </c>
      <c r="W373">
        <f t="shared" si="50"/>
        <v>2</v>
      </c>
      <c r="Y373" t="str">
        <f t="shared" si="51"/>
        <v>OK</v>
      </c>
      <c r="Z373" t="str">
        <f t="shared" si="52"/>
        <v>OK</v>
      </c>
      <c r="AA373" t="str">
        <f t="shared" si="53"/>
        <v>Missing Discount</v>
      </c>
      <c r="AB373" t="str">
        <f t="shared" si="54"/>
        <v>Valid</v>
      </c>
      <c r="AC373" t="str">
        <f>IF(OR(AB373="Invalid Discount",V373="Invalid Shipping"),
"Invalid",
IF(OR(Y373="Missing Region",
Z373="Missing Ship Mode",
AA373="Missing Discount",
X373="Flagged for Review"),
"Warning",
"Clean"))</f>
        <v>Warning</v>
      </c>
      <c r="AD373">
        <f t="shared" si="55"/>
        <v>0</v>
      </c>
      <c r="AE373">
        <f>N373*O373*(1-AD373)</f>
        <v>6156.36</v>
      </c>
      <c r="AF373">
        <f>AE373-R373</f>
        <v>3174.4199999999996</v>
      </c>
      <c r="AG373" s="3">
        <f t="shared" si="56"/>
        <v>0.51563261407714944</v>
      </c>
      <c r="AH373" t="str">
        <f t="shared" si="57"/>
        <v>January</v>
      </c>
      <c r="AI373">
        <f t="shared" si="58"/>
        <v>2024</v>
      </c>
    </row>
    <row r="374" spans="1:35">
      <c r="A374" t="s">
        <v>1234</v>
      </c>
      <c r="B374" s="2">
        <v>45885</v>
      </c>
      <c r="C374" s="2">
        <v>45887</v>
      </c>
      <c r="D374" t="s">
        <v>656</v>
      </c>
      <c r="E374" t="s">
        <v>279</v>
      </c>
      <c r="F374" t="s">
        <v>38</v>
      </c>
      <c r="G374" t="s">
        <v>52</v>
      </c>
      <c r="H374" t="s">
        <v>243</v>
      </c>
      <c r="I374" t="s">
        <v>244</v>
      </c>
      <c r="J374" t="s">
        <v>55</v>
      </c>
      <c r="K374" t="s">
        <v>80</v>
      </c>
      <c r="L374" t="s">
        <v>1235</v>
      </c>
      <c r="M374" t="s">
        <v>58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46</v>
      </c>
      <c r="U374" t="s">
        <v>47</v>
      </c>
      <c r="V374" t="str">
        <f t="shared" si="49"/>
        <v>Valid</v>
      </c>
      <c r="W374">
        <f t="shared" si="50"/>
        <v>2</v>
      </c>
      <c r="Y374" t="str">
        <f t="shared" si="51"/>
        <v>OK</v>
      </c>
      <c r="Z374" t="str">
        <f t="shared" si="52"/>
        <v>OK</v>
      </c>
      <c r="AA374" t="str">
        <f t="shared" si="53"/>
        <v>OK</v>
      </c>
      <c r="AB374" t="str">
        <f t="shared" si="54"/>
        <v>Valid</v>
      </c>
      <c r="AC374" t="str">
        <f>IF(OR(AB374="Invalid Discount",V374="Invalid Shipping"),
"Invalid",
IF(OR(Y374="Missing Region",
Z374="Missing Ship Mode",
AA374="Missing Discount",
X374="Flagged for Review"),
"Warning",
"Clean"))</f>
        <v>Clean</v>
      </c>
      <c r="AD374">
        <f t="shared" si="55"/>
        <v>0</v>
      </c>
      <c r="AE374">
        <f>N374*O374*(1-AD374)</f>
        <v>7651.7999999999993</v>
      </c>
      <c r="AF374">
        <f>AE374-R374</f>
        <v>2480.0199999999995</v>
      </c>
      <c r="AG374" s="3">
        <f t="shared" si="56"/>
        <v>0.32410935988917638</v>
      </c>
      <c r="AH374" t="str">
        <f t="shared" si="57"/>
        <v>August</v>
      </c>
      <c r="AI374">
        <f t="shared" si="58"/>
        <v>2025</v>
      </c>
    </row>
    <row r="375" spans="1:35">
      <c r="A375" t="s">
        <v>1236</v>
      </c>
      <c r="B375" s="2">
        <v>45760</v>
      </c>
      <c r="C375" s="2">
        <v>45760</v>
      </c>
      <c r="D375" t="s">
        <v>1237</v>
      </c>
      <c r="E375" t="s">
        <v>146</v>
      </c>
      <c r="F375" t="s">
        <v>51</v>
      </c>
      <c r="G375" t="s">
        <v>39</v>
      </c>
      <c r="H375" t="s">
        <v>150</v>
      </c>
      <c r="I375" t="s">
        <v>151</v>
      </c>
      <c r="J375" t="s">
        <v>42</v>
      </c>
      <c r="K375" t="s">
        <v>138</v>
      </c>
      <c r="L375" t="s">
        <v>1238</v>
      </c>
      <c r="M375" t="s">
        <v>45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46</v>
      </c>
      <c r="U375" t="s">
        <v>47</v>
      </c>
      <c r="V375" t="str">
        <f t="shared" si="49"/>
        <v>Valid</v>
      </c>
      <c r="W375">
        <f t="shared" si="50"/>
        <v>0</v>
      </c>
      <c r="X375" t="s">
        <v>398</v>
      </c>
      <c r="Y375" t="str">
        <f t="shared" si="51"/>
        <v>OK</v>
      </c>
      <c r="Z375" t="str">
        <f t="shared" si="52"/>
        <v>OK</v>
      </c>
      <c r="AA375" t="str">
        <f t="shared" si="53"/>
        <v>OK</v>
      </c>
      <c r="AB375" t="str">
        <f t="shared" si="54"/>
        <v>Valid</v>
      </c>
      <c r="AC375" t="str">
        <f>IF(OR(AB375="Invalid Discount",V375="Invalid Shipping"),
"Invalid",
IF(OR(Y375="Missing Region",
Z375="Missing Ship Mode",
AA375="Missing Discount",
X375="Flagged for Review"),
"Warning",
"Clean"))</f>
        <v>Warning</v>
      </c>
      <c r="AD375">
        <f t="shared" si="55"/>
        <v>0</v>
      </c>
      <c r="AE375">
        <f>N375*O375*(1-AD375)</f>
        <v>10068.120000000001</v>
      </c>
      <c r="AF375">
        <f>AE375-R375</f>
        <v>1472.75</v>
      </c>
      <c r="AG375" s="3">
        <f t="shared" si="56"/>
        <v>0.14627855051389932</v>
      </c>
      <c r="AH375" t="str">
        <f t="shared" si="57"/>
        <v>April</v>
      </c>
      <c r="AI375">
        <f t="shared" si="58"/>
        <v>2025</v>
      </c>
    </row>
    <row r="376" spans="1:35">
      <c r="A376" t="s">
        <v>1239</v>
      </c>
      <c r="B376" s="2">
        <v>45715</v>
      </c>
      <c r="C376" s="2">
        <v>45716</v>
      </c>
      <c r="D376" t="s">
        <v>1240</v>
      </c>
      <c r="E376" t="s">
        <v>103</v>
      </c>
      <c r="F376" t="s">
        <v>51</v>
      </c>
      <c r="G376" t="s">
        <v>39</v>
      </c>
      <c r="H376" t="s">
        <v>150</v>
      </c>
      <c r="I376" t="s">
        <v>151</v>
      </c>
      <c r="J376" t="s">
        <v>42</v>
      </c>
      <c r="K376" t="s">
        <v>105</v>
      </c>
      <c r="L376" t="s">
        <v>1241</v>
      </c>
      <c r="M376" t="s">
        <v>73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46</v>
      </c>
      <c r="U376" t="s">
        <v>47</v>
      </c>
      <c r="V376" t="str">
        <f t="shared" si="49"/>
        <v>Valid</v>
      </c>
      <c r="W376">
        <f t="shared" si="50"/>
        <v>1</v>
      </c>
      <c r="Y376" t="str">
        <f t="shared" si="51"/>
        <v>OK</v>
      </c>
      <c r="Z376" t="str">
        <f t="shared" si="52"/>
        <v>OK</v>
      </c>
      <c r="AA376" t="str">
        <f t="shared" si="53"/>
        <v>OK</v>
      </c>
      <c r="AB376" t="str">
        <f t="shared" si="54"/>
        <v>Valid</v>
      </c>
      <c r="AC376" t="str">
        <f>IF(OR(AB376="Invalid Discount",V376="Invalid Shipping"),
"Invalid",
IF(OR(Y376="Missing Region",
Z376="Missing Ship Mode",
AA376="Missing Discount",
X376="Flagged for Review"),
"Warning",
"Clean"))</f>
        <v>Clean</v>
      </c>
      <c r="AD376">
        <f t="shared" si="55"/>
        <v>0</v>
      </c>
      <c r="AE376">
        <f>N376*O376*(1-AD376)</f>
        <v>14359.5</v>
      </c>
      <c r="AF376">
        <f>AE376-R376</f>
        <v>6241.79</v>
      </c>
      <c r="AG376" s="3">
        <f t="shared" si="56"/>
        <v>0.43468017688638183</v>
      </c>
      <c r="AH376" t="str">
        <f t="shared" si="57"/>
        <v>February</v>
      </c>
      <c r="AI376">
        <f t="shared" si="58"/>
        <v>2025</v>
      </c>
    </row>
    <row r="377" spans="1:35">
      <c r="A377" t="s">
        <v>1242</v>
      </c>
      <c r="B377" s="2">
        <v>45657</v>
      </c>
      <c r="C377" s="2">
        <v>45661</v>
      </c>
      <c r="D377" t="s">
        <v>1243</v>
      </c>
      <c r="E377" t="s">
        <v>85</v>
      </c>
      <c r="F377" t="s">
        <v>38</v>
      </c>
      <c r="G377" t="s">
        <v>39</v>
      </c>
      <c r="H377" t="s">
        <v>365</v>
      </c>
      <c r="I377" t="s">
        <v>366</v>
      </c>
      <c r="J377" t="s">
        <v>55</v>
      </c>
      <c r="K377" t="s">
        <v>80</v>
      </c>
      <c r="L377" t="s">
        <v>1244</v>
      </c>
      <c r="M377" t="s">
        <v>58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46</v>
      </c>
      <c r="U377" t="s">
        <v>47</v>
      </c>
      <c r="V377" t="str">
        <f t="shared" si="49"/>
        <v>Valid</v>
      </c>
      <c r="W377">
        <f t="shared" si="50"/>
        <v>4</v>
      </c>
      <c r="Y377" t="str">
        <f t="shared" si="51"/>
        <v>OK</v>
      </c>
      <c r="Z377" t="str">
        <f t="shared" si="52"/>
        <v>OK</v>
      </c>
      <c r="AA377" t="str">
        <f t="shared" si="53"/>
        <v>OK</v>
      </c>
      <c r="AB377" t="str">
        <f t="shared" si="54"/>
        <v>Valid</v>
      </c>
      <c r="AC377" t="str">
        <f>IF(OR(AB377="Invalid Discount",V377="Invalid Shipping"),
"Invalid",
IF(OR(Y377="Missing Region",
Z377="Missing Ship Mode",
AA377="Missing Discount",
X377="Flagged for Review"),
"Warning",
"Clean"))</f>
        <v>Clean</v>
      </c>
      <c r="AD377">
        <f t="shared" si="55"/>
        <v>0.25</v>
      </c>
      <c r="AE377">
        <f>N377*O377*(1-AD377)</f>
        <v>2624.8724999999999</v>
      </c>
      <c r="AF377">
        <f>AE377-R377</f>
        <v>370.99249999999984</v>
      </c>
      <c r="AG377" s="3">
        <f t="shared" si="56"/>
        <v>0.14133734114704613</v>
      </c>
      <c r="AH377" t="str">
        <f t="shared" si="57"/>
        <v>December</v>
      </c>
      <c r="AI377">
        <f t="shared" si="58"/>
        <v>2024</v>
      </c>
    </row>
    <row r="378" spans="1:35">
      <c r="A378" t="s">
        <v>1245</v>
      </c>
      <c r="B378" s="2">
        <v>45655</v>
      </c>
      <c r="C378" s="2">
        <v>45657</v>
      </c>
      <c r="D378" t="s">
        <v>1246</v>
      </c>
      <c r="E378" t="s">
        <v>61</v>
      </c>
      <c r="F378" t="s">
        <v>51</v>
      </c>
      <c r="G378" t="s">
        <v>52</v>
      </c>
      <c r="H378" t="s">
        <v>159</v>
      </c>
      <c r="I378" t="s">
        <v>160</v>
      </c>
      <c r="J378" t="s">
        <v>55</v>
      </c>
      <c r="K378" t="s">
        <v>80</v>
      </c>
      <c r="L378" t="s">
        <v>1247</v>
      </c>
      <c r="M378" t="s">
        <v>64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46</v>
      </c>
      <c r="U378" t="s">
        <v>47</v>
      </c>
      <c r="V378" t="str">
        <f t="shared" si="49"/>
        <v>Valid</v>
      </c>
      <c r="W378">
        <f t="shared" si="50"/>
        <v>2</v>
      </c>
      <c r="Y378" t="str">
        <f t="shared" si="51"/>
        <v>OK</v>
      </c>
      <c r="Z378" t="str">
        <f t="shared" si="52"/>
        <v>OK</v>
      </c>
      <c r="AA378" t="str">
        <f t="shared" si="53"/>
        <v>OK</v>
      </c>
      <c r="AB378" t="str">
        <f t="shared" si="54"/>
        <v>Valid</v>
      </c>
      <c r="AC378" t="str">
        <f>IF(OR(AB378="Invalid Discount",V378="Invalid Shipping"),
"Invalid",
IF(OR(Y378="Missing Region",
Z378="Missing Ship Mode",
AA378="Missing Discount",
X378="Flagged for Review"),
"Warning",
"Clean"))</f>
        <v>Clean</v>
      </c>
      <c r="AD378">
        <f t="shared" si="55"/>
        <v>0.2</v>
      </c>
      <c r="AE378">
        <f>N378*O378*(1-AD378)</f>
        <v>8854.9440000000013</v>
      </c>
      <c r="AF378">
        <f>AE378-R378</f>
        <v>1420.9940000000015</v>
      </c>
      <c r="AG378" s="3">
        <f t="shared" si="56"/>
        <v>0.1604746455765278</v>
      </c>
      <c r="AH378" t="str">
        <f t="shared" si="57"/>
        <v>December</v>
      </c>
      <c r="AI378">
        <f t="shared" si="58"/>
        <v>2024</v>
      </c>
    </row>
    <row r="379" spans="1:35">
      <c r="A379" t="s">
        <v>1248</v>
      </c>
      <c r="B379" s="2">
        <v>45801</v>
      </c>
      <c r="C379" s="2">
        <v>45807</v>
      </c>
      <c r="D379" t="s">
        <v>1249</v>
      </c>
      <c r="E379" t="s">
        <v>279</v>
      </c>
      <c r="F379" t="s">
        <v>51</v>
      </c>
      <c r="G379" t="s">
        <v>52</v>
      </c>
      <c r="H379" t="s">
        <v>53</v>
      </c>
      <c r="I379" t="s">
        <v>54</v>
      </c>
      <c r="J379" t="s">
        <v>42</v>
      </c>
      <c r="K379" t="s">
        <v>138</v>
      </c>
      <c r="L379" t="s">
        <v>1250</v>
      </c>
      <c r="M379" t="s">
        <v>58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46</v>
      </c>
      <c r="U379" t="s">
        <v>47</v>
      </c>
      <c r="V379" t="str">
        <f t="shared" si="49"/>
        <v>Valid</v>
      </c>
      <c r="W379">
        <f t="shared" si="50"/>
        <v>6</v>
      </c>
      <c r="Y379" t="str">
        <f t="shared" si="51"/>
        <v>OK</v>
      </c>
      <c r="Z379" t="str">
        <f t="shared" si="52"/>
        <v>OK</v>
      </c>
      <c r="AA379" t="str">
        <f t="shared" si="53"/>
        <v>OK</v>
      </c>
      <c r="AB379" t="str">
        <f t="shared" si="54"/>
        <v>Valid</v>
      </c>
      <c r="AC379" t="str">
        <f>IF(OR(AB379="Invalid Discount",V379="Invalid Shipping"),
"Invalid",
IF(OR(Y379="Missing Region",
Z379="Missing Ship Mode",
AA379="Missing Discount",
X379="Flagged for Review"),
"Warning",
"Clean"))</f>
        <v>Clean</v>
      </c>
      <c r="AD379">
        <f t="shared" si="55"/>
        <v>0</v>
      </c>
      <c r="AE379">
        <f>N379*O379*(1-AD379)</f>
        <v>2564.7399999999998</v>
      </c>
      <c r="AF379">
        <f>AE379-R379</f>
        <v>810.15999999999985</v>
      </c>
      <c r="AG379" s="3">
        <f t="shared" si="56"/>
        <v>0.31588387126960232</v>
      </c>
      <c r="AH379" t="str">
        <f t="shared" si="57"/>
        <v>May</v>
      </c>
      <c r="AI379">
        <f t="shared" si="58"/>
        <v>2025</v>
      </c>
    </row>
    <row r="380" spans="1:35">
      <c r="A380" t="s">
        <v>1251</v>
      </c>
      <c r="B380" s="2">
        <v>45799</v>
      </c>
      <c r="C380" s="2">
        <v>45799</v>
      </c>
      <c r="D380" t="s">
        <v>1252</v>
      </c>
      <c r="E380" t="s">
        <v>50</v>
      </c>
      <c r="F380" t="s">
        <v>38</v>
      </c>
      <c r="G380" t="s">
        <v>77</v>
      </c>
      <c r="H380" t="s">
        <v>204</v>
      </c>
      <c r="I380" t="s">
        <v>205</v>
      </c>
      <c r="J380" t="s">
        <v>88</v>
      </c>
      <c r="K380" t="s">
        <v>89</v>
      </c>
      <c r="L380" t="s">
        <v>1253</v>
      </c>
      <c r="M380" t="s">
        <v>73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46</v>
      </c>
      <c r="U380" t="s">
        <v>47</v>
      </c>
      <c r="V380" t="str">
        <f t="shared" si="49"/>
        <v>Valid</v>
      </c>
      <c r="W380">
        <f t="shared" si="50"/>
        <v>0</v>
      </c>
      <c r="Y380" t="str">
        <f t="shared" si="51"/>
        <v>OK</v>
      </c>
      <c r="Z380" t="str">
        <f t="shared" si="52"/>
        <v>OK</v>
      </c>
      <c r="AA380" t="str">
        <f t="shared" si="53"/>
        <v>OK</v>
      </c>
      <c r="AB380" t="str">
        <f t="shared" si="54"/>
        <v>Valid</v>
      </c>
      <c r="AC380" t="str">
        <f>IF(OR(AB380="Invalid Discount",V380="Invalid Shipping"),
"Invalid",
IF(OR(Y380="Missing Region",
Z380="Missing Ship Mode",
AA380="Missing Discount",
X380="Flagged for Review"),
"Warning",
"Clean"))</f>
        <v>Clean</v>
      </c>
      <c r="AD380">
        <f t="shared" si="55"/>
        <v>0</v>
      </c>
      <c r="AE380">
        <f>N380*O380*(1-AD380)</f>
        <v>7821.22</v>
      </c>
      <c r="AF380">
        <f>AE380-R380</f>
        <v>2826.76</v>
      </c>
      <c r="AG380" s="3">
        <f t="shared" si="56"/>
        <v>0.36142187535959863</v>
      </c>
      <c r="AH380" t="str">
        <f t="shared" si="57"/>
        <v>May</v>
      </c>
      <c r="AI380">
        <f t="shared" si="58"/>
        <v>2025</v>
      </c>
    </row>
    <row r="381" spans="1:35">
      <c r="A381" t="s">
        <v>1254</v>
      </c>
      <c r="B381" s="2">
        <v>45554</v>
      </c>
      <c r="C381" s="2">
        <v>45558</v>
      </c>
      <c r="D381" t="s">
        <v>1255</v>
      </c>
      <c r="E381" t="s">
        <v>50</v>
      </c>
      <c r="F381" t="s">
        <v>51</v>
      </c>
      <c r="G381" t="s">
        <v>68</v>
      </c>
      <c r="H381" t="s">
        <v>199</v>
      </c>
      <c r="I381" t="s">
        <v>200</v>
      </c>
      <c r="J381" t="s">
        <v>42</v>
      </c>
      <c r="K381" t="s">
        <v>43</v>
      </c>
      <c r="L381" t="s">
        <v>1256</v>
      </c>
      <c r="M381" t="s">
        <v>73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46</v>
      </c>
      <c r="U381" t="s">
        <v>47</v>
      </c>
      <c r="V381" t="str">
        <f t="shared" si="49"/>
        <v>Valid</v>
      </c>
      <c r="W381">
        <f t="shared" si="50"/>
        <v>4</v>
      </c>
      <c r="Y381" t="str">
        <f t="shared" si="51"/>
        <v>OK</v>
      </c>
      <c r="Z381" t="str">
        <f t="shared" si="52"/>
        <v>OK</v>
      </c>
      <c r="AA381" t="str">
        <f t="shared" si="53"/>
        <v>Missing Discount</v>
      </c>
      <c r="AB381" t="str">
        <f t="shared" si="54"/>
        <v>Valid</v>
      </c>
      <c r="AC381" t="str">
        <f>IF(OR(AB381="Invalid Discount",V381="Invalid Shipping"),
"Invalid",
IF(OR(Y381="Missing Region",
Z381="Missing Ship Mode",
AA381="Missing Discount",
X381="Flagged for Review"),
"Warning",
"Clean"))</f>
        <v>Warning</v>
      </c>
      <c r="AD381">
        <f t="shared" si="55"/>
        <v>0</v>
      </c>
      <c r="AE381">
        <f>N381*O381*(1-AD381)</f>
        <v>7956.76</v>
      </c>
      <c r="AF381">
        <f>AE381-R381</f>
        <v>3157.2200000000003</v>
      </c>
      <c r="AG381" s="3">
        <f t="shared" si="56"/>
        <v>0.39679718880549369</v>
      </c>
      <c r="AH381" t="str">
        <f t="shared" si="57"/>
        <v>September</v>
      </c>
      <c r="AI381">
        <f t="shared" si="58"/>
        <v>2024</v>
      </c>
    </row>
    <row r="382" spans="1:35">
      <c r="A382" t="s">
        <v>1257</v>
      </c>
      <c r="B382" s="2">
        <v>45389</v>
      </c>
      <c r="C382" s="2">
        <v>45396</v>
      </c>
      <c r="D382" t="s">
        <v>1258</v>
      </c>
      <c r="E382" t="s">
        <v>85</v>
      </c>
      <c r="F382" t="s">
        <v>38</v>
      </c>
      <c r="G382" t="s">
        <v>77</v>
      </c>
      <c r="H382" t="s">
        <v>78</v>
      </c>
      <c r="I382" t="s">
        <v>79</v>
      </c>
      <c r="J382" t="s">
        <v>55</v>
      </c>
      <c r="K382" t="s">
        <v>172</v>
      </c>
      <c r="L382" t="s">
        <v>1259</v>
      </c>
      <c r="M382" t="s">
        <v>58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46</v>
      </c>
      <c r="U382" t="s">
        <v>117</v>
      </c>
      <c r="V382" t="str">
        <f t="shared" si="49"/>
        <v>Valid</v>
      </c>
      <c r="W382">
        <f t="shared" si="50"/>
        <v>7</v>
      </c>
      <c r="Y382" t="str">
        <f t="shared" si="51"/>
        <v>OK</v>
      </c>
      <c r="Z382" t="str">
        <f t="shared" si="52"/>
        <v>OK</v>
      </c>
      <c r="AA382" t="str">
        <f t="shared" si="53"/>
        <v>OK</v>
      </c>
      <c r="AB382" t="str">
        <f t="shared" si="54"/>
        <v>Valid</v>
      </c>
      <c r="AC382" t="str">
        <f>IF(OR(AB382="Invalid Discount",V382="Invalid Shipping"),
"Invalid",
IF(OR(Y382="Missing Region",
Z382="Missing Ship Mode",
AA382="Missing Discount",
X382="Flagged for Review"),
"Warning",
"Clean"))</f>
        <v>Clean</v>
      </c>
      <c r="AD382">
        <f t="shared" si="55"/>
        <v>0.25</v>
      </c>
      <c r="AE382">
        <f>N382*O382*(1-AD382)</f>
        <v>8384.4375</v>
      </c>
      <c r="AF382">
        <f>AE382-R382</f>
        <v>3618.4775</v>
      </c>
      <c r="AG382" s="3">
        <f t="shared" si="56"/>
        <v>0.43157069272685256</v>
      </c>
      <c r="AH382" t="str">
        <f t="shared" si="57"/>
        <v>April</v>
      </c>
      <c r="AI382">
        <f t="shared" si="58"/>
        <v>2024</v>
      </c>
    </row>
    <row r="383" spans="1:35">
      <c r="A383" t="s">
        <v>1260</v>
      </c>
      <c r="B383" s="2">
        <v>45919</v>
      </c>
      <c r="C383" s="2">
        <v>45923</v>
      </c>
      <c r="D383" t="s">
        <v>1261</v>
      </c>
      <c r="E383" t="s">
        <v>67</v>
      </c>
      <c r="F383" t="s">
        <v>109</v>
      </c>
      <c r="G383" t="s">
        <v>39</v>
      </c>
      <c r="H383" t="s">
        <v>365</v>
      </c>
      <c r="I383" t="s">
        <v>366</v>
      </c>
      <c r="J383" t="s">
        <v>42</v>
      </c>
      <c r="K383" t="s">
        <v>167</v>
      </c>
      <c r="L383" t="s">
        <v>1262</v>
      </c>
      <c r="M383" t="s">
        <v>73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169</v>
      </c>
      <c r="U383" t="s">
        <v>82</v>
      </c>
      <c r="V383" t="str">
        <f t="shared" si="49"/>
        <v>Valid</v>
      </c>
      <c r="W383">
        <f t="shared" si="50"/>
        <v>4</v>
      </c>
      <c r="Y383" t="str">
        <f t="shared" si="51"/>
        <v>OK</v>
      </c>
      <c r="Z383" t="str">
        <f t="shared" si="52"/>
        <v>OK</v>
      </c>
      <c r="AA383" t="str">
        <f t="shared" si="53"/>
        <v>OK</v>
      </c>
      <c r="AB383" t="str">
        <f t="shared" si="54"/>
        <v>Valid</v>
      </c>
      <c r="AC383" t="str">
        <f>IF(OR(AB383="Invalid Discount",V383="Invalid Shipping"),
"Invalid",
IF(OR(Y383="Missing Region",
Z383="Missing Ship Mode",
AA383="Missing Discount",
X383="Flagged for Review"),
"Warning",
"Clean"))</f>
        <v>Clean</v>
      </c>
      <c r="AD383">
        <f t="shared" si="55"/>
        <v>0.05</v>
      </c>
      <c r="AE383">
        <f>N383*O383*(1-AD383)</f>
        <v>16671.169999999998</v>
      </c>
      <c r="AF383">
        <f>AE383-R383</f>
        <v>5837.9799999999977</v>
      </c>
      <c r="AG383" s="3">
        <f t="shared" si="56"/>
        <v>0.35018418023450054</v>
      </c>
      <c r="AH383" t="str">
        <f t="shared" si="57"/>
        <v>September</v>
      </c>
      <c r="AI383">
        <f t="shared" si="58"/>
        <v>2025</v>
      </c>
    </row>
    <row r="384" spans="1:35">
      <c r="A384" t="s">
        <v>1263</v>
      </c>
      <c r="B384" s="2">
        <v>45720</v>
      </c>
      <c r="C384" s="2">
        <v>45724</v>
      </c>
      <c r="D384" t="s">
        <v>171</v>
      </c>
      <c r="E384" t="s">
        <v>67</v>
      </c>
      <c r="F384" t="s">
        <v>51</v>
      </c>
      <c r="G384" t="s">
        <v>52</v>
      </c>
      <c r="H384" t="s">
        <v>159</v>
      </c>
      <c r="I384" t="s">
        <v>160</v>
      </c>
      <c r="J384" t="s">
        <v>88</v>
      </c>
      <c r="K384" t="s">
        <v>185</v>
      </c>
      <c r="L384" t="s">
        <v>1264</v>
      </c>
      <c r="M384" t="s">
        <v>64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46</v>
      </c>
      <c r="U384" t="s">
        <v>47</v>
      </c>
      <c r="V384" t="str">
        <f t="shared" si="49"/>
        <v>Valid</v>
      </c>
      <c r="W384">
        <f t="shared" si="50"/>
        <v>4</v>
      </c>
      <c r="Y384" t="str">
        <f t="shared" si="51"/>
        <v>OK</v>
      </c>
      <c r="Z384" t="str">
        <f t="shared" si="52"/>
        <v>OK</v>
      </c>
      <c r="AA384" t="str">
        <f t="shared" si="53"/>
        <v>OK</v>
      </c>
      <c r="AB384" t="str">
        <f t="shared" si="54"/>
        <v>Valid</v>
      </c>
      <c r="AC384" t="str">
        <f>IF(OR(AB384="Invalid Discount",V384="Invalid Shipping"),
"Invalid",
IF(OR(Y384="Missing Region",
Z384="Missing Ship Mode",
AA384="Missing Discount",
X384="Flagged for Review"),
"Warning",
"Clean"))</f>
        <v>Clean</v>
      </c>
      <c r="AD384">
        <f t="shared" si="55"/>
        <v>0.2</v>
      </c>
      <c r="AE384">
        <f>N384*O384*(1-AD384)</f>
        <v>10468.440000000002</v>
      </c>
      <c r="AF384">
        <f>AE384-R384</f>
        <v>2068.5700000000015</v>
      </c>
      <c r="AG384" s="3">
        <f t="shared" si="56"/>
        <v>0.19760059760575607</v>
      </c>
      <c r="AH384" t="str">
        <f t="shared" si="57"/>
        <v>March</v>
      </c>
      <c r="AI384">
        <f t="shared" si="58"/>
        <v>2025</v>
      </c>
    </row>
    <row r="385" spans="1:35">
      <c r="A385" t="s">
        <v>1265</v>
      </c>
      <c r="B385" s="2">
        <v>45836</v>
      </c>
      <c r="C385" s="2">
        <v>45843</v>
      </c>
      <c r="D385" t="s">
        <v>1266</v>
      </c>
      <c r="E385" t="s">
        <v>85</v>
      </c>
      <c r="F385" t="s">
        <v>104</v>
      </c>
      <c r="G385" t="s">
        <v>52</v>
      </c>
      <c r="H385" t="s">
        <v>113</v>
      </c>
      <c r="I385" t="s">
        <v>114</v>
      </c>
      <c r="J385" t="s">
        <v>42</v>
      </c>
      <c r="K385" t="s">
        <v>62</v>
      </c>
      <c r="L385" t="s">
        <v>1267</v>
      </c>
      <c r="M385" t="s">
        <v>64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46</v>
      </c>
      <c r="U385" t="s">
        <v>82</v>
      </c>
      <c r="V385" t="str">
        <f t="shared" si="49"/>
        <v>Valid</v>
      </c>
      <c r="W385">
        <f t="shared" si="50"/>
        <v>7</v>
      </c>
      <c r="Y385" t="str">
        <f t="shared" si="51"/>
        <v>OK</v>
      </c>
      <c r="Z385" t="str">
        <f t="shared" si="52"/>
        <v>OK</v>
      </c>
      <c r="AA385" t="str">
        <f t="shared" si="53"/>
        <v>OK</v>
      </c>
      <c r="AB385" t="str">
        <f t="shared" si="54"/>
        <v>Valid</v>
      </c>
      <c r="AC385" t="str">
        <f>IF(OR(AB385="Invalid Discount",V385="Invalid Shipping"),
"Invalid",
IF(OR(Y385="Missing Region",
Z385="Missing Ship Mode",
AA385="Missing Discount",
X385="Flagged for Review"),
"Warning",
"Clean"))</f>
        <v>Clean</v>
      </c>
      <c r="AD385">
        <f t="shared" si="55"/>
        <v>0</v>
      </c>
      <c r="AE385">
        <f>N385*O385*(1-AD385)</f>
        <v>4485.5</v>
      </c>
      <c r="AF385">
        <f>AE385-R385</f>
        <v>1353.6399999999999</v>
      </c>
      <c r="AG385" s="3">
        <f t="shared" si="56"/>
        <v>0.30178129528480657</v>
      </c>
      <c r="AH385" t="str">
        <f t="shared" si="57"/>
        <v>June</v>
      </c>
      <c r="AI385">
        <f t="shared" si="58"/>
        <v>2025</v>
      </c>
    </row>
    <row r="386" spans="1:35">
      <c r="A386" t="s">
        <v>1268</v>
      </c>
      <c r="B386" s="2">
        <v>45366</v>
      </c>
      <c r="C386" s="2">
        <v>45371</v>
      </c>
      <c r="D386" t="s">
        <v>1269</v>
      </c>
      <c r="E386" t="s">
        <v>155</v>
      </c>
      <c r="F386" t="s">
        <v>38</v>
      </c>
      <c r="G386" t="s">
        <v>52</v>
      </c>
      <c r="H386" t="s">
        <v>243</v>
      </c>
      <c r="I386" t="s">
        <v>244</v>
      </c>
      <c r="J386" t="s">
        <v>88</v>
      </c>
      <c r="K386" t="s">
        <v>94</v>
      </c>
      <c r="L386" t="s">
        <v>1270</v>
      </c>
      <c r="M386" t="s">
        <v>73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46</v>
      </c>
      <c r="U386" t="s">
        <v>117</v>
      </c>
      <c r="V386" t="str">
        <f t="shared" si="49"/>
        <v>Valid</v>
      </c>
      <c r="W386">
        <f t="shared" si="50"/>
        <v>5</v>
      </c>
      <c r="Y386" t="str">
        <f t="shared" si="51"/>
        <v>OK</v>
      </c>
      <c r="Z386" t="str">
        <f t="shared" si="52"/>
        <v>OK</v>
      </c>
      <c r="AA386" t="str">
        <f t="shared" si="53"/>
        <v>OK</v>
      </c>
      <c r="AB386" t="str">
        <f t="shared" si="54"/>
        <v>Valid</v>
      </c>
      <c r="AC386" t="str">
        <f>IF(OR(AB386="Invalid Discount",V386="Invalid Shipping"),
"Invalid",
IF(OR(Y386="Missing Region",
Z386="Missing Ship Mode",
AA386="Missing Discount",
X386="Flagged for Review"),
"Warning",
"Clean"))</f>
        <v>Clean</v>
      </c>
      <c r="AD386">
        <f t="shared" si="55"/>
        <v>0.25</v>
      </c>
      <c r="AE386">
        <f>N386*O386*(1-AD386)</f>
        <v>2822.1000000000004</v>
      </c>
      <c r="AF386">
        <f>AE386-R386</f>
        <v>1197.5300000000004</v>
      </c>
      <c r="AG386" s="3">
        <f t="shared" si="56"/>
        <v>0.42434003047376079</v>
      </c>
      <c r="AH386" t="str">
        <f t="shared" si="57"/>
        <v>March</v>
      </c>
      <c r="AI386">
        <f t="shared" si="58"/>
        <v>2024</v>
      </c>
    </row>
    <row r="387" spans="1:35">
      <c r="A387" t="s">
        <v>1271</v>
      </c>
      <c r="B387" s="2">
        <v>45832</v>
      </c>
      <c r="C387" s="2">
        <v>45838</v>
      </c>
      <c r="D387" t="s">
        <v>1272</v>
      </c>
      <c r="E387" t="s">
        <v>67</v>
      </c>
      <c r="F387" t="s">
        <v>38</v>
      </c>
      <c r="G387" t="s">
        <v>39</v>
      </c>
      <c r="H387" t="s">
        <v>251</v>
      </c>
      <c r="I387" t="s">
        <v>252</v>
      </c>
      <c r="J387" t="s">
        <v>42</v>
      </c>
      <c r="K387" t="s">
        <v>105</v>
      </c>
      <c r="L387" t="s">
        <v>1273</v>
      </c>
      <c r="M387" t="s">
        <v>73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46</v>
      </c>
      <c r="U387" t="s">
        <v>47</v>
      </c>
      <c r="V387" t="str">
        <f t="shared" ref="V387:V450" si="59">IF(C387&lt;B387,"Invalid Shipping","Valid")</f>
        <v>Valid</v>
      </c>
      <c r="W387">
        <f t="shared" ref="W387:W450" si="60">C387-B387</f>
        <v>6</v>
      </c>
      <c r="Y387" t="str">
        <f t="shared" ref="Y387:Y450" si="61">IF(G387="Unknown","Missing Region","OK")</f>
        <v>OK</v>
      </c>
      <c r="Z387" t="str">
        <f t="shared" ref="Z387:Z450" si="62">IF(M387="Unknown","Missing Ship Mode","OK")</f>
        <v>OK</v>
      </c>
      <c r="AA387" t="str">
        <f t="shared" ref="AA387:AA450" si="63">IF(P387="","Missing Discount","OK")</f>
        <v>OK</v>
      </c>
      <c r="AB387" t="str">
        <f t="shared" ref="AB387:AB450" si="64">IF(OR(P387&lt;0,P387&gt;1),"Invalid Discount","Valid")</f>
        <v>Valid</v>
      </c>
      <c r="AC387" t="str">
        <f>IF(OR(AB387="Invalid Discount",V387="Invalid Shipping"),
"Invalid",
IF(OR(Y387="Missing Region",
Z387="Missing Ship Mode",
AA387="Missing Discount",
X387="Flagged for Review"),
"Warning",
"Clean"))</f>
        <v>Clean</v>
      </c>
      <c r="AD387">
        <f t="shared" ref="AD387:AD450" si="65">IF(P387="",0,P387)</f>
        <v>0.1</v>
      </c>
      <c r="AE387">
        <f>N387*O387*(1-AD387)</f>
        <v>1975.104</v>
      </c>
      <c r="AF387">
        <f>AE387-R387</f>
        <v>859.75400000000013</v>
      </c>
      <c r="AG387" s="3">
        <f t="shared" ref="AG387:AG450" si="66">IF(AE387=0,0,AF387/AE387)</f>
        <v>0.4352955591199249</v>
      </c>
      <c r="AH387" t="str">
        <f t="shared" ref="AH387:AH450" si="67">TEXT(B387,"mmmm")</f>
        <v>June</v>
      </c>
      <c r="AI387">
        <f t="shared" ref="AI387:AI450" si="68">YEAR(B387)</f>
        <v>2025</v>
      </c>
    </row>
    <row r="388" spans="1:35">
      <c r="A388" t="s">
        <v>1274</v>
      </c>
      <c r="B388" s="2">
        <v>45700</v>
      </c>
      <c r="C388" s="2">
        <v>45702</v>
      </c>
      <c r="D388" t="s">
        <v>1275</v>
      </c>
      <c r="E388" t="s">
        <v>146</v>
      </c>
      <c r="F388" t="s">
        <v>38</v>
      </c>
      <c r="G388" t="s">
        <v>77</v>
      </c>
      <c r="H388" t="s">
        <v>78</v>
      </c>
      <c r="I388" t="s">
        <v>79</v>
      </c>
      <c r="J388" t="s">
        <v>55</v>
      </c>
      <c r="K388" t="s">
        <v>71</v>
      </c>
      <c r="L388" t="s">
        <v>1276</v>
      </c>
      <c r="M388" t="s">
        <v>45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46</v>
      </c>
      <c r="U388" t="s">
        <v>47</v>
      </c>
      <c r="V388" t="str">
        <f t="shared" si="59"/>
        <v>Valid</v>
      </c>
      <c r="W388">
        <f t="shared" si="60"/>
        <v>2</v>
      </c>
      <c r="Y388" t="str">
        <f t="shared" si="61"/>
        <v>OK</v>
      </c>
      <c r="Z388" t="str">
        <f t="shared" si="62"/>
        <v>OK</v>
      </c>
      <c r="AA388" t="str">
        <f t="shared" si="63"/>
        <v>OK</v>
      </c>
      <c r="AB388" t="str">
        <f t="shared" si="64"/>
        <v>Valid</v>
      </c>
      <c r="AC388" t="str">
        <f>IF(OR(AB388="Invalid Discount",V388="Invalid Shipping"),
"Invalid",
IF(OR(Y388="Missing Region",
Z388="Missing Ship Mode",
AA388="Missing Discount",
X388="Flagged for Review"),
"Warning",
"Clean"))</f>
        <v>Clean</v>
      </c>
      <c r="AD388">
        <f t="shared" si="65"/>
        <v>0.1</v>
      </c>
      <c r="AE388">
        <f>N388*O388*(1-AD388)</f>
        <v>20063.952000000001</v>
      </c>
      <c r="AF388">
        <f>AE388-R388</f>
        <v>5700.5720000000019</v>
      </c>
      <c r="AG388" s="3">
        <f t="shared" si="66"/>
        <v>0.2841200975759911</v>
      </c>
      <c r="AH388" t="str">
        <f t="shared" si="67"/>
        <v>February</v>
      </c>
      <c r="AI388">
        <f t="shared" si="68"/>
        <v>2025</v>
      </c>
    </row>
    <row r="389" spans="1:35">
      <c r="A389" t="s">
        <v>1277</v>
      </c>
      <c r="B389" s="2">
        <v>45879</v>
      </c>
      <c r="C389" s="2">
        <v>45882</v>
      </c>
      <c r="D389" t="s">
        <v>1278</v>
      </c>
      <c r="E389" t="s">
        <v>128</v>
      </c>
      <c r="F389" t="s">
        <v>51</v>
      </c>
      <c r="G389" t="s">
        <v>77</v>
      </c>
      <c r="H389" t="s">
        <v>86</v>
      </c>
      <c r="I389" t="s">
        <v>87</v>
      </c>
      <c r="J389" t="s">
        <v>55</v>
      </c>
      <c r="K389" t="s">
        <v>80</v>
      </c>
      <c r="L389" t="s">
        <v>1279</v>
      </c>
      <c r="M389" t="s">
        <v>73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125</v>
      </c>
      <c r="U389" t="s">
        <v>82</v>
      </c>
      <c r="V389" t="str">
        <f t="shared" si="59"/>
        <v>Valid</v>
      </c>
      <c r="W389">
        <f t="shared" si="60"/>
        <v>3</v>
      </c>
      <c r="Y389" t="str">
        <f t="shared" si="61"/>
        <v>OK</v>
      </c>
      <c r="Z389" t="str">
        <f t="shared" si="62"/>
        <v>OK</v>
      </c>
      <c r="AA389" t="str">
        <f t="shared" si="63"/>
        <v>OK</v>
      </c>
      <c r="AB389" t="str">
        <f t="shared" si="64"/>
        <v>Valid</v>
      </c>
      <c r="AC389" t="str">
        <f>IF(OR(AB389="Invalid Discount",V389="Invalid Shipping"),
"Invalid",
IF(OR(Y389="Missing Region",
Z389="Missing Ship Mode",
AA389="Missing Discount",
X389="Flagged for Review"),
"Warning",
"Clean"))</f>
        <v>Clean</v>
      </c>
      <c r="AD389">
        <f t="shared" si="65"/>
        <v>0</v>
      </c>
      <c r="AE389">
        <f>N389*O389*(1-AD389)</f>
        <v>1764.3000000000002</v>
      </c>
      <c r="AF389">
        <f>AE389-R389</f>
        <v>431.81000000000017</v>
      </c>
      <c r="AG389" s="3">
        <f t="shared" si="66"/>
        <v>0.24474862551720236</v>
      </c>
      <c r="AH389" t="str">
        <f t="shared" si="67"/>
        <v>August</v>
      </c>
      <c r="AI389">
        <f t="shared" si="68"/>
        <v>2025</v>
      </c>
    </row>
    <row r="390" spans="1:35">
      <c r="A390" t="s">
        <v>1280</v>
      </c>
      <c r="B390" s="2">
        <v>45425</v>
      </c>
      <c r="C390" s="2">
        <v>45430</v>
      </c>
      <c r="D390" t="s">
        <v>1281</v>
      </c>
      <c r="E390" t="s">
        <v>61</v>
      </c>
      <c r="F390" t="s">
        <v>51</v>
      </c>
      <c r="G390" t="s">
        <v>77</v>
      </c>
      <c r="H390" t="s">
        <v>194</v>
      </c>
      <c r="I390" t="s">
        <v>195</v>
      </c>
      <c r="J390" t="s">
        <v>55</v>
      </c>
      <c r="K390" t="s">
        <v>80</v>
      </c>
      <c r="L390" t="s">
        <v>1282</v>
      </c>
      <c r="M390" t="s">
        <v>73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46</v>
      </c>
      <c r="U390" t="s">
        <v>47</v>
      </c>
      <c r="V390" t="str">
        <f t="shared" si="59"/>
        <v>Valid</v>
      </c>
      <c r="W390">
        <f t="shared" si="60"/>
        <v>5</v>
      </c>
      <c r="Y390" t="str">
        <f t="shared" si="61"/>
        <v>OK</v>
      </c>
      <c r="Z390" t="str">
        <f t="shared" si="62"/>
        <v>OK</v>
      </c>
      <c r="AA390" t="str">
        <f t="shared" si="63"/>
        <v>OK</v>
      </c>
      <c r="AB390" t="str">
        <f t="shared" si="64"/>
        <v>Valid</v>
      </c>
      <c r="AC390" t="str">
        <f>IF(OR(AB390="Invalid Discount",V390="Invalid Shipping"),
"Invalid",
IF(OR(Y390="Missing Region",
Z390="Missing Ship Mode",
AA390="Missing Discount",
X390="Flagged for Review"),
"Warning",
"Clean"))</f>
        <v>Clean</v>
      </c>
      <c r="AD390">
        <f t="shared" si="65"/>
        <v>0</v>
      </c>
      <c r="AE390">
        <f>N390*O390*(1-AD390)</f>
        <v>9385.77</v>
      </c>
      <c r="AF390">
        <f>AE390-R390</f>
        <v>2513.3300000000008</v>
      </c>
      <c r="AG390" s="3">
        <f t="shared" si="66"/>
        <v>0.26778090662779941</v>
      </c>
      <c r="AH390" t="str">
        <f t="shared" si="67"/>
        <v>May</v>
      </c>
      <c r="AI390">
        <f t="shared" si="68"/>
        <v>2024</v>
      </c>
    </row>
    <row r="391" spans="1:35">
      <c r="A391" t="s">
        <v>1283</v>
      </c>
      <c r="B391" s="2">
        <v>45387</v>
      </c>
      <c r="C391" s="2">
        <v>45395</v>
      </c>
      <c r="D391" t="s">
        <v>1284</v>
      </c>
      <c r="E391" t="s">
        <v>176</v>
      </c>
      <c r="F391" t="s">
        <v>104</v>
      </c>
      <c r="G391" t="s">
        <v>77</v>
      </c>
      <c r="H391" t="s">
        <v>194</v>
      </c>
      <c r="I391" t="s">
        <v>195</v>
      </c>
      <c r="J391" t="s">
        <v>88</v>
      </c>
      <c r="K391" t="s">
        <v>289</v>
      </c>
      <c r="L391" t="s">
        <v>1285</v>
      </c>
      <c r="M391" t="s">
        <v>45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125</v>
      </c>
      <c r="U391" t="s">
        <v>82</v>
      </c>
      <c r="V391" t="str">
        <f t="shared" si="59"/>
        <v>Valid</v>
      </c>
      <c r="W391">
        <f t="shared" si="60"/>
        <v>8</v>
      </c>
      <c r="Y391" t="str">
        <f t="shared" si="61"/>
        <v>OK</v>
      </c>
      <c r="Z391" t="str">
        <f t="shared" si="62"/>
        <v>OK</v>
      </c>
      <c r="AA391" t="str">
        <f t="shared" si="63"/>
        <v>OK</v>
      </c>
      <c r="AB391" t="str">
        <f t="shared" si="64"/>
        <v>Valid</v>
      </c>
      <c r="AC391" t="str">
        <f>IF(OR(AB391="Invalid Discount",V391="Invalid Shipping"),
"Invalid",
IF(OR(Y391="Missing Region",
Z391="Missing Ship Mode",
AA391="Missing Discount",
X391="Flagged for Review"),
"Warning",
"Clean"))</f>
        <v>Clean</v>
      </c>
      <c r="AD391">
        <f t="shared" si="65"/>
        <v>0.2</v>
      </c>
      <c r="AE391">
        <f>N391*O391*(1-AD391)</f>
        <v>7750.1600000000008</v>
      </c>
      <c r="AF391">
        <f>AE391-R391</f>
        <v>2315.8600000000006</v>
      </c>
      <c r="AG391" s="3">
        <f t="shared" si="66"/>
        <v>0.29881447608823564</v>
      </c>
      <c r="AH391" t="str">
        <f t="shared" si="67"/>
        <v>April</v>
      </c>
      <c r="AI391">
        <f t="shared" si="68"/>
        <v>2024</v>
      </c>
    </row>
    <row r="392" spans="1:35">
      <c r="A392" t="s">
        <v>1286</v>
      </c>
      <c r="B392" s="2">
        <v>45602</v>
      </c>
      <c r="C392" s="2">
        <v>45607</v>
      </c>
      <c r="D392" t="s">
        <v>1287</v>
      </c>
      <c r="E392" t="s">
        <v>61</v>
      </c>
      <c r="F392" t="s">
        <v>38</v>
      </c>
      <c r="G392" t="s">
        <v>77</v>
      </c>
      <c r="H392" t="s">
        <v>194</v>
      </c>
      <c r="I392" t="s">
        <v>195</v>
      </c>
      <c r="J392" t="s">
        <v>55</v>
      </c>
      <c r="K392" t="s">
        <v>71</v>
      </c>
      <c r="L392" t="s">
        <v>1288</v>
      </c>
      <c r="M392" t="s">
        <v>73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46</v>
      </c>
      <c r="U392" t="s">
        <v>47</v>
      </c>
      <c r="V392" t="str">
        <f t="shared" si="59"/>
        <v>Valid</v>
      </c>
      <c r="W392">
        <f t="shared" si="60"/>
        <v>5</v>
      </c>
      <c r="Y392" t="str">
        <f t="shared" si="61"/>
        <v>OK</v>
      </c>
      <c r="Z392" t="str">
        <f t="shared" si="62"/>
        <v>OK</v>
      </c>
      <c r="AA392" t="str">
        <f t="shared" si="63"/>
        <v>OK</v>
      </c>
      <c r="AB392" t="str">
        <f t="shared" si="64"/>
        <v>Valid</v>
      </c>
      <c r="AC392" t="str">
        <f>IF(OR(AB392="Invalid Discount",V392="Invalid Shipping"),
"Invalid",
IF(OR(Y392="Missing Region",
Z392="Missing Ship Mode",
AA392="Missing Discount",
X392="Flagged for Review"),
"Warning",
"Clean"))</f>
        <v>Clean</v>
      </c>
      <c r="AD392">
        <f t="shared" si="65"/>
        <v>0.2</v>
      </c>
      <c r="AE392">
        <f>N392*O392*(1-AD392)</f>
        <v>6135.232</v>
      </c>
      <c r="AF392">
        <f>AE392-R392</f>
        <v>2695.442</v>
      </c>
      <c r="AG392" s="3">
        <f t="shared" si="66"/>
        <v>0.43933823529411764</v>
      </c>
      <c r="AH392" t="str">
        <f t="shared" si="67"/>
        <v>November</v>
      </c>
      <c r="AI392">
        <f t="shared" si="68"/>
        <v>2024</v>
      </c>
    </row>
    <row r="393" spans="1:35">
      <c r="A393" t="s">
        <v>1289</v>
      </c>
      <c r="B393" s="2">
        <v>45702</v>
      </c>
      <c r="C393" s="2">
        <v>45702</v>
      </c>
      <c r="D393" t="s">
        <v>1290</v>
      </c>
      <c r="E393" t="s">
        <v>176</v>
      </c>
      <c r="F393" t="s">
        <v>38</v>
      </c>
      <c r="G393" t="s">
        <v>68</v>
      </c>
      <c r="H393" t="s">
        <v>189</v>
      </c>
      <c r="I393" t="s">
        <v>190</v>
      </c>
      <c r="J393" t="s">
        <v>42</v>
      </c>
      <c r="K393" t="s">
        <v>138</v>
      </c>
      <c r="L393" t="s">
        <v>1291</v>
      </c>
      <c r="M393" t="s">
        <v>64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46</v>
      </c>
      <c r="U393" t="s">
        <v>47</v>
      </c>
      <c r="V393" t="str">
        <f t="shared" si="59"/>
        <v>Valid</v>
      </c>
      <c r="W393">
        <f t="shared" si="60"/>
        <v>0</v>
      </c>
      <c r="Y393" t="str">
        <f t="shared" si="61"/>
        <v>OK</v>
      </c>
      <c r="Z393" t="str">
        <f t="shared" si="62"/>
        <v>OK</v>
      </c>
      <c r="AA393" t="str">
        <f t="shared" si="63"/>
        <v>OK</v>
      </c>
      <c r="AB393" t="str">
        <f t="shared" si="64"/>
        <v>Valid</v>
      </c>
      <c r="AC393" t="str">
        <f>IF(OR(AB393="Invalid Discount",V393="Invalid Shipping"),
"Invalid",
IF(OR(Y393="Missing Region",
Z393="Missing Ship Mode",
AA393="Missing Discount",
X393="Flagged for Review"),
"Warning",
"Clean"))</f>
        <v>Clean</v>
      </c>
      <c r="AD393">
        <f t="shared" si="65"/>
        <v>0</v>
      </c>
      <c r="AE393">
        <f>N393*O393*(1-AD393)</f>
        <v>714.43</v>
      </c>
      <c r="AF393">
        <f>AE393-R393</f>
        <v>148.9899999999999</v>
      </c>
      <c r="AG393" s="3">
        <f t="shared" si="66"/>
        <v>0.20854387413742412</v>
      </c>
      <c r="AH393" t="str">
        <f t="shared" si="67"/>
        <v>February</v>
      </c>
      <c r="AI393">
        <f t="shared" si="68"/>
        <v>2025</v>
      </c>
    </row>
    <row r="394" spans="1:35">
      <c r="A394" t="s">
        <v>1292</v>
      </c>
      <c r="B394" s="2">
        <v>45341</v>
      </c>
      <c r="C394" s="2">
        <v>45344</v>
      </c>
      <c r="D394" t="s">
        <v>1293</v>
      </c>
      <c r="E394" t="s">
        <v>103</v>
      </c>
      <c r="F394" t="s">
        <v>51</v>
      </c>
      <c r="G394" t="s">
        <v>68</v>
      </c>
      <c r="H394" t="s">
        <v>199</v>
      </c>
      <c r="I394" t="s">
        <v>200</v>
      </c>
      <c r="J394" t="s">
        <v>55</v>
      </c>
      <c r="K394" t="s">
        <v>71</v>
      </c>
      <c r="L394" t="s">
        <v>1294</v>
      </c>
      <c r="M394" t="s">
        <v>58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46</v>
      </c>
      <c r="U394" t="s">
        <v>47</v>
      </c>
      <c r="V394" t="str">
        <f t="shared" si="59"/>
        <v>Valid</v>
      </c>
      <c r="W394">
        <f t="shared" si="60"/>
        <v>3</v>
      </c>
      <c r="Y394" t="str">
        <f t="shared" si="61"/>
        <v>OK</v>
      </c>
      <c r="Z394" t="str">
        <f t="shared" si="62"/>
        <v>OK</v>
      </c>
      <c r="AA394" t="str">
        <f t="shared" si="63"/>
        <v>OK</v>
      </c>
      <c r="AB394" t="str">
        <f t="shared" si="64"/>
        <v>Valid</v>
      </c>
      <c r="AC394" t="str">
        <f>IF(OR(AB394="Invalid Discount",V394="Invalid Shipping"),
"Invalid",
IF(OR(Y394="Missing Region",
Z394="Missing Ship Mode",
AA394="Missing Discount",
X394="Flagged for Review"),
"Warning",
"Clean"))</f>
        <v>Clean</v>
      </c>
      <c r="AD394">
        <f t="shared" si="65"/>
        <v>0</v>
      </c>
      <c r="AE394">
        <f>N394*O394*(1-AD394)</f>
        <v>36477.090000000004</v>
      </c>
      <c r="AF394">
        <f>AE394-R394</f>
        <v>11951.610000000004</v>
      </c>
      <c r="AG394" s="3">
        <f t="shared" si="66"/>
        <v>0.32764702447481425</v>
      </c>
      <c r="AH394" t="str">
        <f t="shared" si="67"/>
        <v>February</v>
      </c>
      <c r="AI394">
        <f t="shared" si="68"/>
        <v>2024</v>
      </c>
    </row>
    <row r="395" spans="1:35">
      <c r="A395" t="s">
        <v>1295</v>
      </c>
      <c r="B395" s="2">
        <v>45527</v>
      </c>
      <c r="C395" s="2">
        <v>45533</v>
      </c>
      <c r="D395" t="s">
        <v>1296</v>
      </c>
      <c r="E395" t="s">
        <v>50</v>
      </c>
      <c r="F395" t="s">
        <v>104</v>
      </c>
      <c r="G395" t="s">
        <v>39</v>
      </c>
      <c r="H395" t="s">
        <v>150</v>
      </c>
      <c r="I395" t="s">
        <v>151</v>
      </c>
      <c r="J395" t="s">
        <v>42</v>
      </c>
      <c r="K395" t="s">
        <v>105</v>
      </c>
      <c r="L395" t="s">
        <v>1297</v>
      </c>
      <c r="M395" t="s">
        <v>58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46</v>
      </c>
      <c r="U395" t="s">
        <v>47</v>
      </c>
      <c r="V395" t="str">
        <f t="shared" si="59"/>
        <v>Valid</v>
      </c>
      <c r="W395">
        <f t="shared" si="60"/>
        <v>6</v>
      </c>
      <c r="Y395" t="str">
        <f t="shared" si="61"/>
        <v>OK</v>
      </c>
      <c r="Z395" t="str">
        <f t="shared" si="62"/>
        <v>OK</v>
      </c>
      <c r="AA395" t="str">
        <f t="shared" si="63"/>
        <v>OK</v>
      </c>
      <c r="AB395" t="str">
        <f t="shared" si="64"/>
        <v>Valid</v>
      </c>
      <c r="AC395" t="str">
        <f>IF(OR(AB395="Invalid Discount",V395="Invalid Shipping"),
"Invalid",
IF(OR(Y395="Missing Region",
Z395="Missing Ship Mode",
AA395="Missing Discount",
X395="Flagged for Review"),
"Warning",
"Clean"))</f>
        <v>Clean</v>
      </c>
      <c r="AD395">
        <f t="shared" si="65"/>
        <v>0.05</v>
      </c>
      <c r="AE395">
        <f>N395*O395*(1-AD395)</f>
        <v>3680.1289999999999</v>
      </c>
      <c r="AF395">
        <f>AE395-R395</f>
        <v>712.66899999999987</v>
      </c>
      <c r="AG395" s="3">
        <f t="shared" si="66"/>
        <v>0.19365326595888346</v>
      </c>
      <c r="AH395" t="str">
        <f t="shared" si="67"/>
        <v>August</v>
      </c>
      <c r="AI395">
        <f t="shared" si="68"/>
        <v>2024</v>
      </c>
    </row>
    <row r="396" spans="1:35">
      <c r="A396" t="s">
        <v>1298</v>
      </c>
      <c r="B396" s="2">
        <v>45385</v>
      </c>
      <c r="C396" s="2">
        <v>45386</v>
      </c>
      <c r="D396" t="s">
        <v>1299</v>
      </c>
      <c r="E396" t="s">
        <v>279</v>
      </c>
      <c r="F396" t="s">
        <v>38</v>
      </c>
      <c r="G396" t="s">
        <v>77</v>
      </c>
      <c r="H396" t="s">
        <v>78</v>
      </c>
      <c r="I396" t="s">
        <v>79</v>
      </c>
      <c r="J396" t="s">
        <v>55</v>
      </c>
      <c r="K396" t="s">
        <v>71</v>
      </c>
      <c r="L396" t="s">
        <v>1300</v>
      </c>
      <c r="M396" t="s">
        <v>64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46</v>
      </c>
      <c r="U396" t="s">
        <v>47</v>
      </c>
      <c r="V396" t="str">
        <f t="shared" si="59"/>
        <v>Valid</v>
      </c>
      <c r="W396">
        <f t="shared" si="60"/>
        <v>1</v>
      </c>
      <c r="Y396" t="str">
        <f t="shared" si="61"/>
        <v>OK</v>
      </c>
      <c r="Z396" t="str">
        <f t="shared" si="62"/>
        <v>OK</v>
      </c>
      <c r="AA396" t="str">
        <f t="shared" si="63"/>
        <v>OK</v>
      </c>
      <c r="AB396" t="str">
        <f t="shared" si="64"/>
        <v>Valid</v>
      </c>
      <c r="AC396" t="str">
        <f>IF(OR(AB396="Invalid Discount",V396="Invalid Shipping"),
"Invalid",
IF(OR(Y396="Missing Region",
Z396="Missing Ship Mode",
AA396="Missing Discount",
X396="Flagged for Review"),
"Warning",
"Clean"))</f>
        <v>Clean</v>
      </c>
      <c r="AD396">
        <f t="shared" si="65"/>
        <v>0</v>
      </c>
      <c r="AE396">
        <f>N396*O396*(1-AD396)</f>
        <v>27616.47</v>
      </c>
      <c r="AF396">
        <f>AE396-R396</f>
        <v>6391.2100000000028</v>
      </c>
      <c r="AG396" s="3">
        <f t="shared" si="66"/>
        <v>0.23142747787823725</v>
      </c>
      <c r="AH396" t="str">
        <f t="shared" si="67"/>
        <v>April</v>
      </c>
      <c r="AI396">
        <f t="shared" si="68"/>
        <v>2024</v>
      </c>
    </row>
    <row r="397" spans="1:35">
      <c r="A397" t="s">
        <v>1301</v>
      </c>
      <c r="B397" s="2">
        <v>45449</v>
      </c>
      <c r="C397" s="2">
        <v>45450</v>
      </c>
      <c r="D397" t="s">
        <v>1302</v>
      </c>
      <c r="E397" t="s">
        <v>132</v>
      </c>
      <c r="F397" t="s">
        <v>109</v>
      </c>
      <c r="G397" t="s">
        <v>68</v>
      </c>
      <c r="H397" t="s">
        <v>262</v>
      </c>
      <c r="I397" t="s">
        <v>263</v>
      </c>
      <c r="J397" t="s">
        <v>55</v>
      </c>
      <c r="K397" t="s">
        <v>56</v>
      </c>
      <c r="L397" t="s">
        <v>1303</v>
      </c>
      <c r="M397" t="s">
        <v>58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46</v>
      </c>
      <c r="U397" t="s">
        <v>47</v>
      </c>
      <c r="V397" t="str">
        <f t="shared" si="59"/>
        <v>Valid</v>
      </c>
      <c r="W397">
        <f t="shared" si="60"/>
        <v>1</v>
      </c>
      <c r="Y397" t="str">
        <f t="shared" si="61"/>
        <v>OK</v>
      </c>
      <c r="Z397" t="str">
        <f t="shared" si="62"/>
        <v>OK</v>
      </c>
      <c r="AA397" t="str">
        <f t="shared" si="63"/>
        <v>OK</v>
      </c>
      <c r="AB397" t="str">
        <f t="shared" si="64"/>
        <v>Valid</v>
      </c>
      <c r="AC397" t="str">
        <f>IF(OR(AB397="Invalid Discount",V397="Invalid Shipping"),
"Invalid",
IF(OR(Y397="Missing Region",
Z397="Missing Ship Mode",
AA397="Missing Discount",
X397="Flagged for Review"),
"Warning",
"Clean"))</f>
        <v>Clean</v>
      </c>
      <c r="AD397">
        <f t="shared" si="65"/>
        <v>0.05</v>
      </c>
      <c r="AE397">
        <f>N397*O397*(1-AD397)</f>
        <v>5731.7014999999992</v>
      </c>
      <c r="AF397">
        <f>AE397-R397</f>
        <v>1616.1414999999988</v>
      </c>
      <c r="AG397" s="3">
        <f t="shared" si="66"/>
        <v>0.28196539893084088</v>
      </c>
      <c r="AH397" t="str">
        <f t="shared" si="67"/>
        <v>June</v>
      </c>
      <c r="AI397">
        <f t="shared" si="68"/>
        <v>2024</v>
      </c>
    </row>
    <row r="398" spans="1:35">
      <c r="A398" t="s">
        <v>1304</v>
      </c>
      <c r="B398" s="2">
        <v>45761</v>
      </c>
      <c r="C398" s="2">
        <v>45769</v>
      </c>
      <c r="D398" t="s">
        <v>1305</v>
      </c>
      <c r="E398" t="s">
        <v>103</v>
      </c>
      <c r="F398" t="s">
        <v>51</v>
      </c>
      <c r="G398" t="s">
        <v>68</v>
      </c>
      <c r="H398" t="s">
        <v>189</v>
      </c>
      <c r="I398" t="s">
        <v>190</v>
      </c>
      <c r="J398" t="s">
        <v>88</v>
      </c>
      <c r="K398" t="s">
        <v>289</v>
      </c>
      <c r="L398" t="s">
        <v>1306</v>
      </c>
      <c r="M398" t="s">
        <v>73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46</v>
      </c>
      <c r="U398" t="s">
        <v>47</v>
      </c>
      <c r="V398" t="str">
        <f t="shared" si="59"/>
        <v>Valid</v>
      </c>
      <c r="W398">
        <f t="shared" si="60"/>
        <v>8</v>
      </c>
      <c r="Y398" t="str">
        <f t="shared" si="61"/>
        <v>OK</v>
      </c>
      <c r="Z398" t="str">
        <f t="shared" si="62"/>
        <v>OK</v>
      </c>
      <c r="AA398" t="str">
        <f t="shared" si="63"/>
        <v>OK</v>
      </c>
      <c r="AB398" t="str">
        <f t="shared" si="64"/>
        <v>Valid</v>
      </c>
      <c r="AC398" t="str">
        <f>IF(OR(AB398="Invalid Discount",V398="Invalid Shipping"),
"Invalid",
IF(OR(Y398="Missing Region",
Z398="Missing Ship Mode",
AA398="Missing Discount",
X398="Flagged for Review"),
"Warning",
"Clean"))</f>
        <v>Clean</v>
      </c>
      <c r="AD398">
        <f t="shared" si="65"/>
        <v>0.05</v>
      </c>
      <c r="AE398">
        <f>N398*O398*(1-AD398)</f>
        <v>1213.587</v>
      </c>
      <c r="AF398">
        <f>AE398-R398</f>
        <v>257.36699999999996</v>
      </c>
      <c r="AG398" s="3">
        <f t="shared" si="66"/>
        <v>0.21207132245154239</v>
      </c>
      <c r="AH398" t="str">
        <f t="shared" si="67"/>
        <v>April</v>
      </c>
      <c r="AI398">
        <f t="shared" si="68"/>
        <v>2025</v>
      </c>
    </row>
    <row r="399" spans="1:35">
      <c r="A399" t="s">
        <v>1307</v>
      </c>
      <c r="B399" s="2">
        <v>45817</v>
      </c>
      <c r="C399" s="2">
        <v>45818</v>
      </c>
      <c r="D399" t="s">
        <v>1308</v>
      </c>
      <c r="E399" t="s">
        <v>146</v>
      </c>
      <c r="F399" t="s">
        <v>51</v>
      </c>
      <c r="G399" t="s">
        <v>39</v>
      </c>
      <c r="H399" t="s">
        <v>150</v>
      </c>
      <c r="I399" t="s">
        <v>151</v>
      </c>
      <c r="J399" t="s">
        <v>55</v>
      </c>
      <c r="K399" t="s">
        <v>56</v>
      </c>
      <c r="L399" t="s">
        <v>1309</v>
      </c>
      <c r="M399" t="s">
        <v>45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46</v>
      </c>
      <c r="U399" t="s">
        <v>47</v>
      </c>
      <c r="V399" t="str">
        <f t="shared" si="59"/>
        <v>Valid</v>
      </c>
      <c r="W399">
        <f t="shared" si="60"/>
        <v>1</v>
      </c>
      <c r="Y399" t="str">
        <f t="shared" si="61"/>
        <v>OK</v>
      </c>
      <c r="Z399" t="str">
        <f t="shared" si="62"/>
        <v>OK</v>
      </c>
      <c r="AA399" t="str">
        <f t="shared" si="63"/>
        <v>OK</v>
      </c>
      <c r="AB399" t="str">
        <f t="shared" si="64"/>
        <v>Valid</v>
      </c>
      <c r="AC399" t="str">
        <f>IF(OR(AB399="Invalid Discount",V399="Invalid Shipping"),
"Invalid",
IF(OR(Y399="Missing Region",
Z399="Missing Ship Mode",
AA399="Missing Discount",
X399="Flagged for Review"),
"Warning",
"Clean"))</f>
        <v>Clean</v>
      </c>
      <c r="AD399">
        <f t="shared" si="65"/>
        <v>0</v>
      </c>
      <c r="AE399">
        <f>N399*O399*(1-AD399)</f>
        <v>3463.76</v>
      </c>
      <c r="AF399">
        <f>AE399-R399</f>
        <v>1320.0200000000004</v>
      </c>
      <c r="AG399" s="3">
        <f t="shared" si="66"/>
        <v>0.38109453310852959</v>
      </c>
      <c r="AH399" t="str">
        <f t="shared" si="67"/>
        <v>June</v>
      </c>
      <c r="AI399">
        <f t="shared" si="68"/>
        <v>2025</v>
      </c>
    </row>
    <row r="400" spans="1:35">
      <c r="A400" t="s">
        <v>1310</v>
      </c>
      <c r="B400" s="2">
        <v>45492</v>
      </c>
      <c r="C400" s="2">
        <v>45499</v>
      </c>
      <c r="D400" t="s">
        <v>1311</v>
      </c>
      <c r="E400" t="s">
        <v>85</v>
      </c>
      <c r="F400" t="s">
        <v>104</v>
      </c>
      <c r="G400" t="s">
        <v>39</v>
      </c>
      <c r="H400" t="s">
        <v>136</v>
      </c>
      <c r="I400" t="s">
        <v>137</v>
      </c>
      <c r="J400" t="s">
        <v>88</v>
      </c>
      <c r="K400" t="s">
        <v>289</v>
      </c>
      <c r="L400" t="s">
        <v>1312</v>
      </c>
      <c r="M400" t="s">
        <v>58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46</v>
      </c>
      <c r="U400" t="s">
        <v>47</v>
      </c>
      <c r="V400" t="str">
        <f t="shared" si="59"/>
        <v>Valid</v>
      </c>
      <c r="W400">
        <f t="shared" si="60"/>
        <v>7</v>
      </c>
      <c r="Y400" t="str">
        <f t="shared" si="61"/>
        <v>OK</v>
      </c>
      <c r="Z400" t="str">
        <f t="shared" si="62"/>
        <v>OK</v>
      </c>
      <c r="AA400" t="str">
        <f t="shared" si="63"/>
        <v>OK</v>
      </c>
      <c r="AB400" t="str">
        <f t="shared" si="64"/>
        <v>Valid</v>
      </c>
      <c r="AC400" t="str">
        <f>IF(OR(AB400="Invalid Discount",V400="Invalid Shipping"),
"Invalid",
IF(OR(Y400="Missing Region",
Z400="Missing Ship Mode",
AA400="Missing Discount",
X400="Flagged for Review"),
"Warning",
"Clean"))</f>
        <v>Clean</v>
      </c>
      <c r="AD400">
        <f t="shared" si="65"/>
        <v>0.2</v>
      </c>
      <c r="AE400">
        <f>N400*O400*(1-AD400)</f>
        <v>2021.8400000000001</v>
      </c>
      <c r="AF400">
        <f>AE400-R400</f>
        <v>666.62000000000012</v>
      </c>
      <c r="AG400" s="3">
        <f t="shared" si="66"/>
        <v>0.32970957147944452</v>
      </c>
      <c r="AH400" t="str">
        <f t="shared" si="67"/>
        <v>July</v>
      </c>
      <c r="AI400">
        <f t="shared" si="68"/>
        <v>2024</v>
      </c>
    </row>
    <row r="401" spans="1:35">
      <c r="A401" t="s">
        <v>1313</v>
      </c>
      <c r="B401" s="2">
        <v>45771</v>
      </c>
      <c r="C401" s="2">
        <v>45776</v>
      </c>
      <c r="D401" t="s">
        <v>1314</v>
      </c>
      <c r="E401" t="s">
        <v>176</v>
      </c>
      <c r="F401" t="s">
        <v>51</v>
      </c>
      <c r="G401" t="s">
        <v>68</v>
      </c>
      <c r="H401" t="s">
        <v>98</v>
      </c>
      <c r="I401" t="s">
        <v>99</v>
      </c>
      <c r="J401" t="s">
        <v>42</v>
      </c>
      <c r="K401" t="s">
        <v>43</v>
      </c>
      <c r="L401" t="s">
        <v>1315</v>
      </c>
      <c r="M401" t="s">
        <v>58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46</v>
      </c>
      <c r="U401" t="s">
        <v>47</v>
      </c>
      <c r="V401" t="str">
        <f t="shared" si="59"/>
        <v>Valid</v>
      </c>
      <c r="W401">
        <f t="shared" si="60"/>
        <v>5</v>
      </c>
      <c r="Y401" t="str">
        <f t="shared" si="61"/>
        <v>OK</v>
      </c>
      <c r="Z401" t="str">
        <f t="shared" si="62"/>
        <v>OK</v>
      </c>
      <c r="AA401" t="str">
        <f t="shared" si="63"/>
        <v>OK</v>
      </c>
      <c r="AB401" t="str">
        <f t="shared" si="64"/>
        <v>Valid</v>
      </c>
      <c r="AC401" t="str">
        <f>IF(OR(AB401="Invalid Discount",V401="Invalid Shipping"),
"Invalid",
IF(OR(Y401="Missing Region",
Z401="Missing Ship Mode",
AA401="Missing Discount",
X401="Flagged for Review"),
"Warning",
"Clean"))</f>
        <v>Clean</v>
      </c>
      <c r="AD401">
        <f t="shared" si="65"/>
        <v>0.25</v>
      </c>
      <c r="AE401">
        <f>N401*O401*(1-AD401)</f>
        <v>3268.875</v>
      </c>
      <c r="AF401">
        <f>AE401-R401</f>
        <v>1275.135</v>
      </c>
      <c r="AG401" s="3">
        <f t="shared" si="66"/>
        <v>0.39008374440747962</v>
      </c>
      <c r="AH401" t="str">
        <f t="shared" si="67"/>
        <v>April</v>
      </c>
      <c r="AI401">
        <f t="shared" si="68"/>
        <v>2025</v>
      </c>
    </row>
    <row r="402" spans="1:35">
      <c r="A402" t="s">
        <v>1316</v>
      </c>
      <c r="B402" s="2">
        <v>45814</v>
      </c>
      <c r="C402" s="2">
        <v>45819</v>
      </c>
      <c r="D402" t="s">
        <v>1317</v>
      </c>
      <c r="E402" t="s">
        <v>146</v>
      </c>
      <c r="F402" t="s">
        <v>51</v>
      </c>
      <c r="G402" t="s">
        <v>39</v>
      </c>
      <c r="H402" t="s">
        <v>150</v>
      </c>
      <c r="I402" t="s">
        <v>151</v>
      </c>
      <c r="J402" t="s">
        <v>42</v>
      </c>
      <c r="K402" t="s">
        <v>43</v>
      </c>
      <c r="L402" t="s">
        <v>1318</v>
      </c>
      <c r="M402" t="s">
        <v>58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46</v>
      </c>
      <c r="U402" t="s">
        <v>47</v>
      </c>
      <c r="V402" t="str">
        <f t="shared" si="59"/>
        <v>Valid</v>
      </c>
      <c r="W402">
        <f t="shared" si="60"/>
        <v>5</v>
      </c>
      <c r="Y402" t="str">
        <f t="shared" si="61"/>
        <v>OK</v>
      </c>
      <c r="Z402" t="str">
        <f t="shared" si="62"/>
        <v>OK</v>
      </c>
      <c r="AA402" t="str">
        <f t="shared" si="63"/>
        <v>OK</v>
      </c>
      <c r="AB402" t="str">
        <f t="shared" si="64"/>
        <v>Invalid Discount</v>
      </c>
      <c r="AC402" t="str">
        <f>IF(OR(AB402="Invalid Discount",V402="Invalid Shipping"),
"Invalid",
IF(OR(Y402="Missing Region",
Z402="Missing Ship Mode",
AA402="Missing Discount",
X402="Flagged for Review"),
"Warning",
"Clean"))</f>
        <v>Invalid</v>
      </c>
      <c r="AD402">
        <f t="shared" si="65"/>
        <v>-0.1</v>
      </c>
      <c r="AE402">
        <f>N402*O402*(1-AD402)</f>
        <v>6761.2930000000006</v>
      </c>
      <c r="AF402">
        <f>AE402-R402</f>
        <v>1883.9130000000005</v>
      </c>
      <c r="AG402" s="3">
        <f t="shared" si="66"/>
        <v>0.27863206046535777</v>
      </c>
      <c r="AH402" t="str">
        <f t="shared" si="67"/>
        <v>June</v>
      </c>
      <c r="AI402">
        <f t="shared" si="68"/>
        <v>2025</v>
      </c>
    </row>
    <row r="403" spans="1:35">
      <c r="A403" t="s">
        <v>1319</v>
      </c>
      <c r="B403" s="2">
        <v>45725</v>
      </c>
      <c r="C403" s="2">
        <v>45732</v>
      </c>
      <c r="D403" t="s">
        <v>1320</v>
      </c>
      <c r="E403" t="s">
        <v>67</v>
      </c>
      <c r="F403" t="s">
        <v>51</v>
      </c>
      <c r="G403" t="s">
        <v>52</v>
      </c>
      <c r="H403" t="s">
        <v>243</v>
      </c>
      <c r="I403" t="s">
        <v>244</v>
      </c>
      <c r="J403" t="s">
        <v>55</v>
      </c>
      <c r="K403" t="s">
        <v>56</v>
      </c>
      <c r="L403" t="s">
        <v>1321</v>
      </c>
      <c r="M403" t="s">
        <v>58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46</v>
      </c>
      <c r="U403" t="s">
        <v>47</v>
      </c>
      <c r="V403" t="str">
        <f t="shared" si="59"/>
        <v>Valid</v>
      </c>
      <c r="W403">
        <f t="shared" si="60"/>
        <v>7</v>
      </c>
      <c r="Y403" t="str">
        <f t="shared" si="61"/>
        <v>OK</v>
      </c>
      <c r="Z403" t="str">
        <f t="shared" si="62"/>
        <v>OK</v>
      </c>
      <c r="AA403" t="str">
        <f t="shared" si="63"/>
        <v>OK</v>
      </c>
      <c r="AB403" t="str">
        <f t="shared" si="64"/>
        <v>Valid</v>
      </c>
      <c r="AC403" t="str">
        <f>IF(OR(AB403="Invalid Discount",V403="Invalid Shipping"),
"Invalid",
IF(OR(Y403="Missing Region",
Z403="Missing Ship Mode",
AA403="Missing Discount",
X403="Flagged for Review"),
"Warning",
"Clean"))</f>
        <v>Clean</v>
      </c>
      <c r="AD403">
        <f t="shared" si="65"/>
        <v>0</v>
      </c>
      <c r="AE403">
        <f>N403*O403*(1-AD403)</f>
        <v>7877.5499999999993</v>
      </c>
      <c r="AF403">
        <f>AE403-R403</f>
        <v>2314.7799999999988</v>
      </c>
      <c r="AG403" s="3">
        <f t="shared" si="66"/>
        <v>0.29384516759652418</v>
      </c>
      <c r="AH403" t="str">
        <f t="shared" si="67"/>
        <v>March</v>
      </c>
      <c r="AI403">
        <f t="shared" si="68"/>
        <v>2025</v>
      </c>
    </row>
    <row r="404" spans="1:35">
      <c r="A404" t="s">
        <v>1322</v>
      </c>
      <c r="B404" s="2">
        <v>45373</v>
      </c>
      <c r="C404" s="2">
        <v>45373</v>
      </c>
      <c r="D404" t="s">
        <v>1323</v>
      </c>
      <c r="E404" t="s">
        <v>128</v>
      </c>
      <c r="F404" t="s">
        <v>51</v>
      </c>
      <c r="G404" t="s">
        <v>68</v>
      </c>
      <c r="H404" t="s">
        <v>189</v>
      </c>
      <c r="I404" t="s">
        <v>190</v>
      </c>
      <c r="J404" t="s">
        <v>55</v>
      </c>
      <c r="K404" t="s">
        <v>56</v>
      </c>
      <c r="L404" t="s">
        <v>1324</v>
      </c>
      <c r="M404" t="s">
        <v>219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46</v>
      </c>
      <c r="U404" t="s">
        <v>47</v>
      </c>
      <c r="V404" t="str">
        <f t="shared" si="59"/>
        <v>Valid</v>
      </c>
      <c r="W404">
        <f t="shared" si="60"/>
        <v>0</v>
      </c>
      <c r="Y404" t="str">
        <f t="shared" si="61"/>
        <v>OK</v>
      </c>
      <c r="Z404" t="str">
        <f t="shared" si="62"/>
        <v>Missing Ship Mode</v>
      </c>
      <c r="AA404" t="str">
        <f t="shared" si="63"/>
        <v>OK</v>
      </c>
      <c r="AB404" t="str">
        <f t="shared" si="64"/>
        <v>Valid</v>
      </c>
      <c r="AC404" t="str">
        <f>IF(OR(AB404="Invalid Discount",V404="Invalid Shipping"),
"Invalid",
IF(OR(Y404="Missing Region",
Z404="Missing Ship Mode",
AA404="Missing Discount",
X404="Flagged for Review"),
"Warning",
"Clean"))</f>
        <v>Warning</v>
      </c>
      <c r="AD404">
        <f t="shared" si="65"/>
        <v>0</v>
      </c>
      <c r="AE404">
        <f>N404*O404*(1-AD404)</f>
        <v>4095.7799999999997</v>
      </c>
      <c r="AF404">
        <f>AE404-R404</f>
        <v>1288.0099999999998</v>
      </c>
      <c r="AG404" s="3">
        <f t="shared" si="66"/>
        <v>0.31447245701673426</v>
      </c>
      <c r="AH404" t="str">
        <f t="shared" si="67"/>
        <v>March</v>
      </c>
      <c r="AI404">
        <f t="shared" si="68"/>
        <v>2024</v>
      </c>
    </row>
    <row r="405" spans="1:35">
      <c r="A405" t="s">
        <v>1325</v>
      </c>
      <c r="B405" s="2">
        <v>45565</v>
      </c>
      <c r="C405" s="2">
        <v>45569</v>
      </c>
      <c r="D405" t="s">
        <v>1326</v>
      </c>
      <c r="E405" t="s">
        <v>67</v>
      </c>
      <c r="F405" t="s">
        <v>51</v>
      </c>
      <c r="G405" t="s">
        <v>68</v>
      </c>
      <c r="H405" t="s">
        <v>199</v>
      </c>
      <c r="I405" t="s">
        <v>200</v>
      </c>
      <c r="J405" t="s">
        <v>42</v>
      </c>
      <c r="K405" t="s">
        <v>43</v>
      </c>
      <c r="L405" t="s">
        <v>1327</v>
      </c>
      <c r="M405" t="s">
        <v>58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46</v>
      </c>
      <c r="U405" t="s">
        <v>117</v>
      </c>
      <c r="V405" t="str">
        <f t="shared" si="59"/>
        <v>Valid</v>
      </c>
      <c r="W405">
        <f t="shared" si="60"/>
        <v>4</v>
      </c>
      <c r="Y405" t="str">
        <f t="shared" si="61"/>
        <v>OK</v>
      </c>
      <c r="Z405" t="str">
        <f t="shared" si="62"/>
        <v>OK</v>
      </c>
      <c r="AA405" t="str">
        <f t="shared" si="63"/>
        <v>OK</v>
      </c>
      <c r="AB405" t="str">
        <f t="shared" si="64"/>
        <v>Valid</v>
      </c>
      <c r="AC405" t="str">
        <f>IF(OR(AB405="Invalid Discount",V405="Invalid Shipping"),
"Invalid",
IF(OR(Y405="Missing Region",
Z405="Missing Ship Mode",
AA405="Missing Discount",
X405="Flagged for Review"),
"Warning",
"Clean"))</f>
        <v>Clean</v>
      </c>
      <c r="AD405">
        <f t="shared" si="65"/>
        <v>0.05</v>
      </c>
      <c r="AE405">
        <f>N405*O405*(1-AD405)</f>
        <v>16683.1875</v>
      </c>
      <c r="AF405">
        <f>AE405-R405</f>
        <v>6382.0275000000001</v>
      </c>
      <c r="AG405" s="3">
        <f t="shared" si="66"/>
        <v>0.38254245479168775</v>
      </c>
      <c r="AH405" t="str">
        <f t="shared" si="67"/>
        <v>September</v>
      </c>
      <c r="AI405">
        <f t="shared" si="68"/>
        <v>2024</v>
      </c>
    </row>
    <row r="406" spans="1:35">
      <c r="A406" t="s">
        <v>1328</v>
      </c>
      <c r="B406" s="2">
        <v>45318</v>
      </c>
      <c r="C406" s="2">
        <v>45325</v>
      </c>
      <c r="D406" t="s">
        <v>1329</v>
      </c>
      <c r="E406" t="s">
        <v>103</v>
      </c>
      <c r="F406" t="s">
        <v>104</v>
      </c>
      <c r="G406" t="s">
        <v>77</v>
      </c>
      <c r="H406" t="s">
        <v>40</v>
      </c>
      <c r="I406" t="s">
        <v>123</v>
      </c>
      <c r="J406" t="s">
        <v>55</v>
      </c>
      <c r="K406" t="s">
        <v>80</v>
      </c>
      <c r="L406" t="s">
        <v>1330</v>
      </c>
      <c r="M406" t="s">
        <v>58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46</v>
      </c>
      <c r="U406" t="s">
        <v>47</v>
      </c>
      <c r="V406" t="str">
        <f t="shared" si="59"/>
        <v>Valid</v>
      </c>
      <c r="W406">
        <f t="shared" si="60"/>
        <v>7</v>
      </c>
      <c r="Y406" t="str">
        <f t="shared" si="61"/>
        <v>OK</v>
      </c>
      <c r="Z406" t="str">
        <f t="shared" si="62"/>
        <v>OK</v>
      </c>
      <c r="AA406" t="str">
        <f t="shared" si="63"/>
        <v>OK</v>
      </c>
      <c r="AB406" t="str">
        <f t="shared" si="64"/>
        <v>Valid</v>
      </c>
      <c r="AC406" t="str">
        <f>IF(OR(AB406="Invalid Discount",V406="Invalid Shipping"),
"Invalid",
IF(OR(Y406="Missing Region",
Z406="Missing Ship Mode",
AA406="Missing Discount",
X406="Flagged for Review"),
"Warning",
"Clean"))</f>
        <v>Clean</v>
      </c>
      <c r="AD406">
        <f t="shared" si="65"/>
        <v>0</v>
      </c>
      <c r="AE406">
        <f>N406*O406*(1-AD406)</f>
        <v>1078.83</v>
      </c>
      <c r="AF406">
        <f>AE406-R406</f>
        <v>152.4799999999999</v>
      </c>
      <c r="AG406" s="3">
        <f t="shared" si="66"/>
        <v>0.14133830167867034</v>
      </c>
      <c r="AH406" t="str">
        <f t="shared" si="67"/>
        <v>January</v>
      </c>
      <c r="AI406">
        <f t="shared" si="68"/>
        <v>2024</v>
      </c>
    </row>
    <row r="407" spans="1:35">
      <c r="A407" t="s">
        <v>1331</v>
      </c>
      <c r="B407" s="2">
        <v>45558</v>
      </c>
      <c r="C407" s="2">
        <v>45559</v>
      </c>
      <c r="D407" t="s">
        <v>1332</v>
      </c>
      <c r="E407" t="s">
        <v>103</v>
      </c>
      <c r="F407" t="s">
        <v>109</v>
      </c>
      <c r="G407" t="s">
        <v>77</v>
      </c>
      <c r="H407" t="s">
        <v>194</v>
      </c>
      <c r="I407" t="s">
        <v>195</v>
      </c>
      <c r="J407" t="s">
        <v>55</v>
      </c>
      <c r="K407" t="s">
        <v>172</v>
      </c>
      <c r="L407" t="s">
        <v>1333</v>
      </c>
      <c r="M407" t="s">
        <v>219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46</v>
      </c>
      <c r="U407" t="s">
        <v>47</v>
      </c>
      <c r="V407" t="str">
        <f t="shared" si="59"/>
        <v>Valid</v>
      </c>
      <c r="W407">
        <f t="shared" si="60"/>
        <v>1</v>
      </c>
      <c r="Y407" t="str">
        <f t="shared" si="61"/>
        <v>OK</v>
      </c>
      <c r="Z407" t="str">
        <f t="shared" si="62"/>
        <v>Missing Ship Mode</v>
      </c>
      <c r="AA407" t="str">
        <f t="shared" si="63"/>
        <v>OK</v>
      </c>
      <c r="AB407" t="str">
        <f t="shared" si="64"/>
        <v>Valid</v>
      </c>
      <c r="AC407" t="str">
        <f>IF(OR(AB407="Invalid Discount",V407="Invalid Shipping"),
"Invalid",
IF(OR(Y407="Missing Region",
Z407="Missing Ship Mode",
AA407="Missing Discount",
X407="Flagged for Review"),
"Warning",
"Clean"))</f>
        <v>Warning</v>
      </c>
      <c r="AD407">
        <f t="shared" si="65"/>
        <v>0.1</v>
      </c>
      <c r="AE407">
        <f>N407*O407*(1-AD407)</f>
        <v>24431.463</v>
      </c>
      <c r="AF407">
        <f>AE407-R407</f>
        <v>6229.1029999999992</v>
      </c>
      <c r="AG407" s="3">
        <f t="shared" si="66"/>
        <v>0.25496234097810677</v>
      </c>
      <c r="AH407" t="str">
        <f t="shared" si="67"/>
        <v>September</v>
      </c>
      <c r="AI407">
        <f t="shared" si="68"/>
        <v>2024</v>
      </c>
    </row>
    <row r="408" spans="1:35">
      <c r="A408" t="s">
        <v>1334</v>
      </c>
      <c r="B408" s="2">
        <v>45713</v>
      </c>
      <c r="C408" s="2">
        <v>45713</v>
      </c>
      <c r="D408" t="s">
        <v>1335</v>
      </c>
      <c r="E408" t="s">
        <v>279</v>
      </c>
      <c r="F408" t="s">
        <v>51</v>
      </c>
      <c r="G408" t="s">
        <v>77</v>
      </c>
      <c r="H408" t="s">
        <v>204</v>
      </c>
      <c r="I408" t="s">
        <v>205</v>
      </c>
      <c r="J408" t="s">
        <v>55</v>
      </c>
      <c r="K408" t="s">
        <v>71</v>
      </c>
      <c r="L408" t="s">
        <v>1336</v>
      </c>
      <c r="M408" t="s">
        <v>73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125</v>
      </c>
      <c r="U408" t="s">
        <v>117</v>
      </c>
      <c r="V408" t="str">
        <f t="shared" si="59"/>
        <v>Valid</v>
      </c>
      <c r="W408">
        <f t="shared" si="60"/>
        <v>0</v>
      </c>
      <c r="Y408" t="str">
        <f t="shared" si="61"/>
        <v>OK</v>
      </c>
      <c r="Z408" t="str">
        <f t="shared" si="62"/>
        <v>OK</v>
      </c>
      <c r="AA408" t="str">
        <f t="shared" si="63"/>
        <v>OK</v>
      </c>
      <c r="AB408" t="str">
        <f t="shared" si="64"/>
        <v>Valid</v>
      </c>
      <c r="AC408" t="str">
        <f>IF(OR(AB408="Invalid Discount",V408="Invalid Shipping"),
"Invalid",
IF(OR(Y408="Missing Region",
Z408="Missing Ship Mode",
AA408="Missing Discount",
X408="Flagged for Review"),
"Warning",
"Clean"))</f>
        <v>Clean</v>
      </c>
      <c r="AD408">
        <f t="shared" si="65"/>
        <v>0.25</v>
      </c>
      <c r="AE408">
        <f>N408*O408*(1-AD408)</f>
        <v>5886.2999999999993</v>
      </c>
      <c r="AF408">
        <f>AE408-R408</f>
        <v>2264.5399999999991</v>
      </c>
      <c r="AG408" s="3">
        <f t="shared" si="66"/>
        <v>0.38471365713606159</v>
      </c>
      <c r="AH408" t="str">
        <f t="shared" si="67"/>
        <v>February</v>
      </c>
      <c r="AI408">
        <f t="shared" si="68"/>
        <v>2025</v>
      </c>
    </row>
    <row r="409" spans="1:35">
      <c r="A409" t="s">
        <v>1337</v>
      </c>
      <c r="B409" s="2">
        <v>45424</v>
      </c>
      <c r="C409" s="2">
        <v>45425</v>
      </c>
      <c r="D409" t="s">
        <v>1338</v>
      </c>
      <c r="E409" t="s">
        <v>132</v>
      </c>
      <c r="F409" t="s">
        <v>104</v>
      </c>
      <c r="G409" t="s">
        <v>77</v>
      </c>
      <c r="H409" t="s">
        <v>204</v>
      </c>
      <c r="I409" t="s">
        <v>205</v>
      </c>
      <c r="J409" t="s">
        <v>42</v>
      </c>
      <c r="K409" t="s">
        <v>105</v>
      </c>
      <c r="L409" t="s">
        <v>1339</v>
      </c>
      <c r="M409" t="s">
        <v>45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46</v>
      </c>
      <c r="U409" t="s">
        <v>47</v>
      </c>
      <c r="V409" t="str">
        <f t="shared" si="59"/>
        <v>Valid</v>
      </c>
      <c r="W409">
        <f t="shared" si="60"/>
        <v>1</v>
      </c>
      <c r="Y409" t="str">
        <f t="shared" si="61"/>
        <v>OK</v>
      </c>
      <c r="Z409" t="str">
        <f t="shared" si="62"/>
        <v>OK</v>
      </c>
      <c r="AA409" t="str">
        <f t="shared" si="63"/>
        <v>OK</v>
      </c>
      <c r="AB409" t="str">
        <f t="shared" si="64"/>
        <v>Valid</v>
      </c>
      <c r="AC409" t="str">
        <f>IF(OR(AB409="Invalid Discount",V409="Invalid Shipping"),
"Invalid",
IF(OR(Y409="Missing Region",
Z409="Missing Ship Mode",
AA409="Missing Discount",
X409="Flagged for Review"),
"Warning",
"Clean"))</f>
        <v>Clean</v>
      </c>
      <c r="AD409">
        <f t="shared" si="65"/>
        <v>0</v>
      </c>
      <c r="AE409">
        <f>N409*O409*(1-AD409)</f>
        <v>7933.6500000000005</v>
      </c>
      <c r="AF409">
        <f>AE409-R409</f>
        <v>2235.2300000000005</v>
      </c>
      <c r="AG409" s="3">
        <f t="shared" si="66"/>
        <v>0.2817404347305465</v>
      </c>
      <c r="AH409" t="str">
        <f t="shared" si="67"/>
        <v>May</v>
      </c>
      <c r="AI409">
        <f t="shared" si="68"/>
        <v>2024</v>
      </c>
    </row>
    <row r="410" spans="1:35">
      <c r="A410" t="s">
        <v>1340</v>
      </c>
      <c r="B410" s="2">
        <v>45870</v>
      </c>
      <c r="C410" s="2">
        <v>45872</v>
      </c>
      <c r="D410" t="s">
        <v>1341</v>
      </c>
      <c r="E410" t="s">
        <v>146</v>
      </c>
      <c r="F410" t="s">
        <v>38</v>
      </c>
      <c r="G410" t="s">
        <v>77</v>
      </c>
      <c r="H410" t="s">
        <v>78</v>
      </c>
      <c r="I410" t="s">
        <v>79</v>
      </c>
      <c r="J410" t="s">
        <v>55</v>
      </c>
      <c r="K410" t="s">
        <v>80</v>
      </c>
      <c r="L410" t="s">
        <v>1342</v>
      </c>
      <c r="M410" t="s">
        <v>64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169</v>
      </c>
      <c r="U410" t="s">
        <v>117</v>
      </c>
      <c r="V410" t="str">
        <f t="shared" si="59"/>
        <v>Valid</v>
      </c>
      <c r="W410">
        <f t="shared" si="60"/>
        <v>2</v>
      </c>
      <c r="Y410" t="str">
        <f t="shared" si="61"/>
        <v>OK</v>
      </c>
      <c r="Z410" t="str">
        <f t="shared" si="62"/>
        <v>OK</v>
      </c>
      <c r="AA410" t="str">
        <f t="shared" si="63"/>
        <v>OK</v>
      </c>
      <c r="AB410" t="str">
        <f t="shared" si="64"/>
        <v>Valid</v>
      </c>
      <c r="AC410" t="str">
        <f>IF(OR(AB410="Invalid Discount",V410="Invalid Shipping"),
"Invalid",
IF(OR(Y410="Missing Region",
Z410="Missing Ship Mode",
AA410="Missing Discount",
X410="Flagged for Review"),
"Warning",
"Clean"))</f>
        <v>Clean</v>
      </c>
      <c r="AD410">
        <f t="shared" si="65"/>
        <v>0</v>
      </c>
      <c r="AE410">
        <f>N410*O410*(1-AD410)</f>
        <v>7093.84</v>
      </c>
      <c r="AF410">
        <f>AE410-R410</f>
        <v>2506.3500000000004</v>
      </c>
      <c r="AG410" s="3">
        <f t="shared" si="66"/>
        <v>0.35331357910525191</v>
      </c>
      <c r="AH410" t="str">
        <f t="shared" si="67"/>
        <v>August</v>
      </c>
      <c r="AI410">
        <f t="shared" si="68"/>
        <v>2025</v>
      </c>
    </row>
    <row r="411" spans="1:35">
      <c r="A411" t="s">
        <v>1343</v>
      </c>
      <c r="B411" s="2">
        <v>45701</v>
      </c>
      <c r="C411" s="2">
        <v>45703</v>
      </c>
      <c r="D411" t="s">
        <v>1344</v>
      </c>
      <c r="E411" t="s">
        <v>37</v>
      </c>
      <c r="F411" t="s">
        <v>38</v>
      </c>
      <c r="G411" t="s">
        <v>52</v>
      </c>
      <c r="H411" t="s">
        <v>180</v>
      </c>
      <c r="I411" t="s">
        <v>181</v>
      </c>
      <c r="J411" t="s">
        <v>88</v>
      </c>
      <c r="K411" t="s">
        <v>89</v>
      </c>
      <c r="L411" t="s">
        <v>1345</v>
      </c>
      <c r="M411" t="s">
        <v>58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116</v>
      </c>
      <c r="U411" t="s">
        <v>117</v>
      </c>
      <c r="V411" t="str">
        <f t="shared" si="59"/>
        <v>Valid</v>
      </c>
      <c r="W411">
        <f t="shared" si="60"/>
        <v>2</v>
      </c>
      <c r="Y411" t="str">
        <f t="shared" si="61"/>
        <v>OK</v>
      </c>
      <c r="Z411" t="str">
        <f t="shared" si="62"/>
        <v>OK</v>
      </c>
      <c r="AA411" t="str">
        <f t="shared" si="63"/>
        <v>OK</v>
      </c>
      <c r="AB411" t="str">
        <f t="shared" si="64"/>
        <v>Valid</v>
      </c>
      <c r="AC411" t="str">
        <f>IF(OR(AB411="Invalid Discount",V411="Invalid Shipping"),
"Invalid",
IF(OR(Y411="Missing Region",
Z411="Missing Ship Mode",
AA411="Missing Discount",
X411="Flagged for Review"),
"Warning",
"Clean"))</f>
        <v>Clean</v>
      </c>
      <c r="AD411">
        <f t="shared" si="65"/>
        <v>0.25</v>
      </c>
      <c r="AE411">
        <f>N411*O411*(1-AD411)</f>
        <v>2269.0950000000003</v>
      </c>
      <c r="AF411">
        <f>AE411-R411</f>
        <v>675.50500000000034</v>
      </c>
      <c r="AG411" s="3">
        <f t="shared" si="66"/>
        <v>0.29769798091309541</v>
      </c>
      <c r="AH411" t="str">
        <f t="shared" si="67"/>
        <v>February</v>
      </c>
      <c r="AI411">
        <f t="shared" si="68"/>
        <v>2025</v>
      </c>
    </row>
    <row r="412" spans="1:35">
      <c r="A412" t="s">
        <v>1346</v>
      </c>
      <c r="B412" s="2">
        <v>45394</v>
      </c>
      <c r="C412" s="2">
        <v>45402</v>
      </c>
      <c r="D412" t="s">
        <v>1347</v>
      </c>
      <c r="E412" t="s">
        <v>176</v>
      </c>
      <c r="F412" t="s">
        <v>38</v>
      </c>
      <c r="G412" t="s">
        <v>77</v>
      </c>
      <c r="H412" t="s">
        <v>204</v>
      </c>
      <c r="I412" t="s">
        <v>205</v>
      </c>
      <c r="J412" t="s">
        <v>55</v>
      </c>
      <c r="K412" t="s">
        <v>56</v>
      </c>
      <c r="L412" t="s">
        <v>1348</v>
      </c>
      <c r="M412" t="s">
        <v>64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46</v>
      </c>
      <c r="U412" t="s">
        <v>47</v>
      </c>
      <c r="V412" t="str">
        <f t="shared" si="59"/>
        <v>Valid</v>
      </c>
      <c r="W412">
        <f t="shared" si="60"/>
        <v>8</v>
      </c>
      <c r="Y412" t="str">
        <f t="shared" si="61"/>
        <v>OK</v>
      </c>
      <c r="Z412" t="str">
        <f t="shared" si="62"/>
        <v>OK</v>
      </c>
      <c r="AA412" t="str">
        <f t="shared" si="63"/>
        <v>OK</v>
      </c>
      <c r="AB412" t="str">
        <f t="shared" si="64"/>
        <v>Valid</v>
      </c>
      <c r="AC412" t="str">
        <f>IF(OR(AB412="Invalid Discount",V412="Invalid Shipping"),
"Invalid",
IF(OR(Y412="Missing Region",
Z412="Missing Ship Mode",
AA412="Missing Discount",
X412="Flagged for Review"),
"Warning",
"Clean"))</f>
        <v>Clean</v>
      </c>
      <c r="AD412">
        <f t="shared" si="65"/>
        <v>0.2</v>
      </c>
      <c r="AE412">
        <f>N412*O412*(1-AD412)</f>
        <v>9378.7919999999995</v>
      </c>
      <c r="AF412">
        <f>AE412-R412</f>
        <v>2604.3119999999999</v>
      </c>
      <c r="AG412" s="3">
        <f t="shared" si="66"/>
        <v>0.27768096360384154</v>
      </c>
      <c r="AH412" t="str">
        <f t="shared" si="67"/>
        <v>April</v>
      </c>
      <c r="AI412">
        <f t="shared" si="68"/>
        <v>2024</v>
      </c>
    </row>
    <row r="413" spans="1:35">
      <c r="A413" t="s">
        <v>1349</v>
      </c>
      <c r="B413" s="2">
        <v>45892</v>
      </c>
      <c r="C413" s="2">
        <v>45897</v>
      </c>
      <c r="D413" t="s">
        <v>1350</v>
      </c>
      <c r="E413" t="s">
        <v>67</v>
      </c>
      <c r="F413" t="s">
        <v>109</v>
      </c>
      <c r="G413" t="s">
        <v>77</v>
      </c>
      <c r="H413" t="s">
        <v>40</v>
      </c>
      <c r="I413" t="s">
        <v>123</v>
      </c>
      <c r="J413" t="s">
        <v>55</v>
      </c>
      <c r="K413" t="s">
        <v>56</v>
      </c>
      <c r="L413" t="s">
        <v>1351</v>
      </c>
      <c r="M413" t="s">
        <v>64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169</v>
      </c>
      <c r="U413" t="s">
        <v>117</v>
      </c>
      <c r="V413" t="str">
        <f t="shared" si="59"/>
        <v>Valid</v>
      </c>
      <c r="W413">
        <f t="shared" si="60"/>
        <v>5</v>
      </c>
      <c r="Y413" t="str">
        <f t="shared" si="61"/>
        <v>OK</v>
      </c>
      <c r="Z413" t="str">
        <f t="shared" si="62"/>
        <v>OK</v>
      </c>
      <c r="AA413" t="str">
        <f t="shared" si="63"/>
        <v>OK</v>
      </c>
      <c r="AB413" t="str">
        <f t="shared" si="64"/>
        <v>Valid</v>
      </c>
      <c r="AC413" t="str">
        <f>IF(OR(AB413="Invalid Discount",V413="Invalid Shipping"),
"Invalid",
IF(OR(Y413="Missing Region",
Z413="Missing Ship Mode",
AA413="Missing Discount",
X413="Flagged for Review"),
"Warning",
"Clean"))</f>
        <v>Clean</v>
      </c>
      <c r="AD413">
        <f t="shared" si="65"/>
        <v>0.2</v>
      </c>
      <c r="AE413">
        <f>N413*O413*(1-AD413)</f>
        <v>3334.2480000000005</v>
      </c>
      <c r="AF413">
        <f>AE413-R413</f>
        <v>565.47800000000052</v>
      </c>
      <c r="AG413" s="3">
        <f t="shared" si="66"/>
        <v>0.16959686262089696</v>
      </c>
      <c r="AH413" t="str">
        <f t="shared" si="67"/>
        <v>August</v>
      </c>
      <c r="AI413">
        <f t="shared" si="68"/>
        <v>2025</v>
      </c>
    </row>
    <row r="414" spans="1:35">
      <c r="A414" t="s">
        <v>1352</v>
      </c>
      <c r="B414" s="2">
        <v>45313</v>
      </c>
      <c r="C414" s="2">
        <v>45321</v>
      </c>
      <c r="D414" t="s">
        <v>1353</v>
      </c>
      <c r="E414" t="s">
        <v>61</v>
      </c>
      <c r="F414" t="s">
        <v>104</v>
      </c>
      <c r="G414" t="s">
        <v>68</v>
      </c>
      <c r="H414" t="s">
        <v>189</v>
      </c>
      <c r="I414" t="s">
        <v>190</v>
      </c>
      <c r="J414" t="s">
        <v>55</v>
      </c>
      <c r="K414" t="s">
        <v>80</v>
      </c>
      <c r="L414" t="s">
        <v>1354</v>
      </c>
      <c r="M414" t="s">
        <v>58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46</v>
      </c>
      <c r="U414" t="s">
        <v>47</v>
      </c>
      <c r="V414" t="str">
        <f t="shared" si="59"/>
        <v>Valid</v>
      </c>
      <c r="W414">
        <f t="shared" si="60"/>
        <v>8</v>
      </c>
      <c r="Y414" t="str">
        <f t="shared" si="61"/>
        <v>OK</v>
      </c>
      <c r="Z414" t="str">
        <f t="shared" si="62"/>
        <v>OK</v>
      </c>
      <c r="AA414" t="str">
        <f t="shared" si="63"/>
        <v>OK</v>
      </c>
      <c r="AB414" t="str">
        <f t="shared" si="64"/>
        <v>Valid</v>
      </c>
      <c r="AC414" t="str">
        <f>IF(OR(AB414="Invalid Discount",V414="Invalid Shipping"),
"Invalid",
IF(OR(Y414="Missing Region",
Z414="Missing Ship Mode",
AA414="Missing Discount",
X414="Flagged for Review"),
"Warning",
"Clean"))</f>
        <v>Clean</v>
      </c>
      <c r="AD414">
        <f t="shared" si="65"/>
        <v>0.25</v>
      </c>
      <c r="AE414">
        <f>N414*O414*(1-AD414)</f>
        <v>1583.5425</v>
      </c>
      <c r="AF414">
        <f>AE414-R414</f>
        <v>569.35249999999996</v>
      </c>
      <c r="AG414" s="3">
        <f t="shared" si="66"/>
        <v>0.35954355503562424</v>
      </c>
      <c r="AH414" t="str">
        <f t="shared" si="67"/>
        <v>January</v>
      </c>
      <c r="AI414">
        <f t="shared" si="68"/>
        <v>2024</v>
      </c>
    </row>
    <row r="415" spans="1:35">
      <c r="A415" t="s">
        <v>1355</v>
      </c>
      <c r="B415" s="2">
        <v>45882</v>
      </c>
      <c r="C415" s="2">
        <v>45886</v>
      </c>
      <c r="D415" t="s">
        <v>1356</v>
      </c>
      <c r="E415" t="s">
        <v>93</v>
      </c>
      <c r="F415" t="s">
        <v>109</v>
      </c>
      <c r="G415" t="s">
        <v>77</v>
      </c>
      <c r="H415" t="s">
        <v>86</v>
      </c>
      <c r="I415" t="s">
        <v>87</v>
      </c>
      <c r="J415" t="s">
        <v>88</v>
      </c>
      <c r="K415" t="s">
        <v>89</v>
      </c>
      <c r="L415" t="s">
        <v>1357</v>
      </c>
      <c r="M415" t="s">
        <v>45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125</v>
      </c>
      <c r="U415" t="s">
        <v>82</v>
      </c>
      <c r="V415" t="str">
        <f t="shared" si="59"/>
        <v>Valid</v>
      </c>
      <c r="W415">
        <f t="shared" si="60"/>
        <v>4</v>
      </c>
      <c r="Y415" t="str">
        <f t="shared" si="61"/>
        <v>OK</v>
      </c>
      <c r="Z415" t="str">
        <f t="shared" si="62"/>
        <v>OK</v>
      </c>
      <c r="AA415" t="str">
        <f t="shared" si="63"/>
        <v>OK</v>
      </c>
      <c r="AB415" t="str">
        <f t="shared" si="64"/>
        <v>Valid</v>
      </c>
      <c r="AC415" t="str">
        <f>IF(OR(AB415="Invalid Discount",V415="Invalid Shipping"),
"Invalid",
IF(OR(Y415="Missing Region",
Z415="Missing Ship Mode",
AA415="Missing Discount",
X415="Flagged for Review"),
"Warning",
"Clean"))</f>
        <v>Clean</v>
      </c>
      <c r="AD415">
        <f t="shared" si="65"/>
        <v>0</v>
      </c>
      <c r="AE415">
        <f>N415*O415*(1-AD415)</f>
        <v>15345.84</v>
      </c>
      <c r="AF415">
        <f>AE415-R415</f>
        <v>4610.51</v>
      </c>
      <c r="AG415" s="3">
        <f t="shared" si="66"/>
        <v>0.30044037993358463</v>
      </c>
      <c r="AH415" t="str">
        <f t="shared" si="67"/>
        <v>August</v>
      </c>
      <c r="AI415">
        <f t="shared" si="68"/>
        <v>2025</v>
      </c>
    </row>
    <row r="416" spans="1:35">
      <c r="A416" t="s">
        <v>1358</v>
      </c>
      <c r="B416" s="2">
        <v>45533</v>
      </c>
      <c r="C416" s="2">
        <v>45534</v>
      </c>
      <c r="D416" t="s">
        <v>1359</v>
      </c>
      <c r="E416" t="s">
        <v>67</v>
      </c>
      <c r="F416" t="s">
        <v>109</v>
      </c>
      <c r="G416" t="s">
        <v>52</v>
      </c>
      <c r="H416" t="s">
        <v>180</v>
      </c>
      <c r="I416" t="s">
        <v>181</v>
      </c>
      <c r="J416" t="s">
        <v>42</v>
      </c>
      <c r="K416" t="s">
        <v>138</v>
      </c>
      <c r="L416" t="s">
        <v>1360</v>
      </c>
      <c r="M416" t="s">
        <v>64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46</v>
      </c>
      <c r="U416" t="s">
        <v>47</v>
      </c>
      <c r="V416" t="str">
        <f t="shared" si="59"/>
        <v>Valid</v>
      </c>
      <c r="W416">
        <f t="shared" si="60"/>
        <v>1</v>
      </c>
      <c r="Y416" t="str">
        <f t="shared" si="61"/>
        <v>OK</v>
      </c>
      <c r="Z416" t="str">
        <f t="shared" si="62"/>
        <v>OK</v>
      </c>
      <c r="AA416" t="str">
        <f t="shared" si="63"/>
        <v>OK</v>
      </c>
      <c r="AB416" t="str">
        <f t="shared" si="64"/>
        <v>Valid</v>
      </c>
      <c r="AC416" t="str">
        <f>IF(OR(AB416="Invalid Discount",V416="Invalid Shipping"),
"Invalid",
IF(OR(Y416="Missing Region",
Z416="Missing Ship Mode",
AA416="Missing Discount",
X416="Flagged for Review"),
"Warning",
"Clean"))</f>
        <v>Clean</v>
      </c>
      <c r="AD416">
        <f t="shared" si="65"/>
        <v>0.05</v>
      </c>
      <c r="AE416">
        <f>N416*O416*(1-AD416)</f>
        <v>9439.503999999999</v>
      </c>
      <c r="AF416">
        <f>AE416-R416</f>
        <v>3920.1139999999987</v>
      </c>
      <c r="AG416" s="3">
        <f t="shared" si="66"/>
        <v>0.41528813378330037</v>
      </c>
      <c r="AH416" t="str">
        <f t="shared" si="67"/>
        <v>August</v>
      </c>
      <c r="AI416">
        <f t="shared" si="68"/>
        <v>2024</v>
      </c>
    </row>
    <row r="417" spans="1:35">
      <c r="A417" t="s">
        <v>1361</v>
      </c>
      <c r="B417" s="2">
        <v>45316</v>
      </c>
      <c r="C417" s="2">
        <v>45318</v>
      </c>
      <c r="D417" t="s">
        <v>1362</v>
      </c>
      <c r="E417" t="s">
        <v>142</v>
      </c>
      <c r="F417" t="s">
        <v>104</v>
      </c>
      <c r="G417" t="s">
        <v>68</v>
      </c>
      <c r="H417" t="s">
        <v>189</v>
      </c>
      <c r="I417" t="s">
        <v>190</v>
      </c>
      <c r="J417" t="s">
        <v>42</v>
      </c>
      <c r="K417" t="s">
        <v>138</v>
      </c>
      <c r="L417" t="s">
        <v>1363</v>
      </c>
      <c r="M417" t="s">
        <v>58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46</v>
      </c>
      <c r="U417" t="s">
        <v>117</v>
      </c>
      <c r="V417" t="str">
        <f t="shared" si="59"/>
        <v>Valid</v>
      </c>
      <c r="W417">
        <f t="shared" si="60"/>
        <v>2</v>
      </c>
      <c r="Y417" t="str">
        <f t="shared" si="61"/>
        <v>OK</v>
      </c>
      <c r="Z417" t="str">
        <f t="shared" si="62"/>
        <v>OK</v>
      </c>
      <c r="AA417" t="str">
        <f t="shared" si="63"/>
        <v>OK</v>
      </c>
      <c r="AB417" t="str">
        <f t="shared" si="64"/>
        <v>Valid</v>
      </c>
      <c r="AC417" t="str">
        <f>IF(OR(AB417="Invalid Discount",V417="Invalid Shipping"),
"Invalid",
IF(OR(Y417="Missing Region",
Z417="Missing Ship Mode",
AA417="Missing Discount",
X417="Flagged for Review"),
"Warning",
"Clean"))</f>
        <v>Clean</v>
      </c>
      <c r="AD417">
        <f t="shared" si="65"/>
        <v>0.15</v>
      </c>
      <c r="AE417">
        <f>N417*O417*(1-AD417)</f>
        <v>10277.197</v>
      </c>
      <c r="AF417">
        <f>AE417-R417</f>
        <v>2370.6970000000001</v>
      </c>
      <c r="AG417" s="3">
        <f t="shared" si="66"/>
        <v>0.23067544584384245</v>
      </c>
      <c r="AH417" t="str">
        <f t="shared" si="67"/>
        <v>January</v>
      </c>
      <c r="AI417">
        <f t="shared" si="68"/>
        <v>2024</v>
      </c>
    </row>
    <row r="418" spans="1:35">
      <c r="A418" t="s">
        <v>1364</v>
      </c>
      <c r="B418" s="2">
        <v>45665</v>
      </c>
      <c r="C418" s="2">
        <v>45673</v>
      </c>
      <c r="D418" t="s">
        <v>1365</v>
      </c>
      <c r="E418" t="s">
        <v>93</v>
      </c>
      <c r="F418" t="s">
        <v>38</v>
      </c>
      <c r="G418" t="s">
        <v>68</v>
      </c>
      <c r="H418" t="s">
        <v>69</v>
      </c>
      <c r="I418" t="s">
        <v>70</v>
      </c>
      <c r="J418" t="s">
        <v>55</v>
      </c>
      <c r="K418" t="s">
        <v>71</v>
      </c>
      <c r="L418" t="s">
        <v>1366</v>
      </c>
      <c r="M418" t="s">
        <v>64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46</v>
      </c>
      <c r="U418" t="s">
        <v>47</v>
      </c>
      <c r="V418" t="str">
        <f t="shared" si="59"/>
        <v>Valid</v>
      </c>
      <c r="W418">
        <f t="shared" si="60"/>
        <v>8</v>
      </c>
      <c r="Y418" t="str">
        <f t="shared" si="61"/>
        <v>OK</v>
      </c>
      <c r="Z418" t="str">
        <f t="shared" si="62"/>
        <v>OK</v>
      </c>
      <c r="AA418" t="str">
        <f t="shared" si="63"/>
        <v>OK</v>
      </c>
      <c r="AB418" t="str">
        <f t="shared" si="64"/>
        <v>Valid</v>
      </c>
      <c r="AC418" t="str">
        <f>IF(OR(AB418="Invalid Discount",V418="Invalid Shipping"),
"Invalid",
IF(OR(Y418="Missing Region",
Z418="Missing Ship Mode",
AA418="Missing Discount",
X418="Flagged for Review"),
"Warning",
"Clean"))</f>
        <v>Clean</v>
      </c>
      <c r="AD418">
        <f t="shared" si="65"/>
        <v>0.25</v>
      </c>
      <c r="AE418">
        <f>N418*O418*(1-AD418)</f>
        <v>3833.7000000000003</v>
      </c>
      <c r="AF418">
        <f>AE418-R418</f>
        <v>947.35000000000036</v>
      </c>
      <c r="AG418" s="3">
        <f t="shared" si="66"/>
        <v>0.24711114589039318</v>
      </c>
      <c r="AH418" t="str">
        <f t="shared" si="67"/>
        <v>January</v>
      </c>
      <c r="AI418">
        <f t="shared" si="68"/>
        <v>2025</v>
      </c>
    </row>
    <row r="419" spans="1:35">
      <c r="A419" t="s">
        <v>1367</v>
      </c>
      <c r="B419" s="2">
        <v>45686</v>
      </c>
      <c r="C419" s="2">
        <v>45693</v>
      </c>
      <c r="D419" t="s">
        <v>1368</v>
      </c>
      <c r="E419" t="s">
        <v>50</v>
      </c>
      <c r="F419" t="s">
        <v>38</v>
      </c>
      <c r="G419" t="s">
        <v>77</v>
      </c>
      <c r="H419" t="s">
        <v>194</v>
      </c>
      <c r="I419" t="s">
        <v>195</v>
      </c>
      <c r="J419" t="s">
        <v>42</v>
      </c>
      <c r="K419" t="s">
        <v>62</v>
      </c>
      <c r="L419" t="s">
        <v>1369</v>
      </c>
      <c r="M419" t="s">
        <v>64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46</v>
      </c>
      <c r="U419" t="s">
        <v>47</v>
      </c>
      <c r="V419" t="str">
        <f t="shared" si="59"/>
        <v>Valid</v>
      </c>
      <c r="W419">
        <f t="shared" si="60"/>
        <v>7</v>
      </c>
      <c r="Y419" t="str">
        <f t="shared" si="61"/>
        <v>OK</v>
      </c>
      <c r="Z419" t="str">
        <f t="shared" si="62"/>
        <v>OK</v>
      </c>
      <c r="AA419" t="str">
        <f t="shared" si="63"/>
        <v>OK</v>
      </c>
      <c r="AB419" t="str">
        <f t="shared" si="64"/>
        <v>Valid</v>
      </c>
      <c r="AC419" t="str">
        <f>IF(OR(AB419="Invalid Discount",V419="Invalid Shipping"),
"Invalid",
IF(OR(Y419="Missing Region",
Z419="Missing Ship Mode",
AA419="Missing Discount",
X419="Flagged for Review"),
"Warning",
"Clean"))</f>
        <v>Clean</v>
      </c>
      <c r="AD419">
        <f t="shared" si="65"/>
        <v>0.2</v>
      </c>
      <c r="AE419">
        <f>N419*O419*(1-AD419)</f>
        <v>18542.400000000001</v>
      </c>
      <c r="AF419">
        <f>AE419-R419</f>
        <v>7348.6500000000015</v>
      </c>
      <c r="AG419" s="3">
        <f t="shared" si="66"/>
        <v>0.39631601087237905</v>
      </c>
      <c r="AH419" t="str">
        <f t="shared" si="67"/>
        <v>January</v>
      </c>
      <c r="AI419">
        <f t="shared" si="68"/>
        <v>2025</v>
      </c>
    </row>
    <row r="420" spans="1:35">
      <c r="A420" t="s">
        <v>1370</v>
      </c>
      <c r="B420" s="2">
        <v>45605</v>
      </c>
      <c r="C420" s="2">
        <v>45613</v>
      </c>
      <c r="D420" t="s">
        <v>1371</v>
      </c>
      <c r="E420" t="s">
        <v>146</v>
      </c>
      <c r="F420" t="s">
        <v>104</v>
      </c>
      <c r="G420" t="s">
        <v>52</v>
      </c>
      <c r="H420" t="s">
        <v>53</v>
      </c>
      <c r="I420" t="s">
        <v>54</v>
      </c>
      <c r="J420" t="s">
        <v>88</v>
      </c>
      <c r="K420" t="s">
        <v>94</v>
      </c>
      <c r="L420" t="s">
        <v>1372</v>
      </c>
      <c r="M420" t="s">
        <v>73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169</v>
      </c>
      <c r="U420" t="s">
        <v>82</v>
      </c>
      <c r="V420" t="str">
        <f t="shared" si="59"/>
        <v>Valid</v>
      </c>
      <c r="W420">
        <f t="shared" si="60"/>
        <v>8</v>
      </c>
      <c r="Y420" t="str">
        <f t="shared" si="61"/>
        <v>OK</v>
      </c>
      <c r="Z420" t="str">
        <f t="shared" si="62"/>
        <v>OK</v>
      </c>
      <c r="AA420" t="str">
        <f t="shared" si="63"/>
        <v>OK</v>
      </c>
      <c r="AB420" t="str">
        <f t="shared" si="64"/>
        <v>Valid</v>
      </c>
      <c r="AC420" t="str">
        <f>IF(OR(AB420="Invalid Discount",V420="Invalid Shipping"),
"Invalid",
IF(OR(Y420="Missing Region",
Z420="Missing Ship Mode",
AA420="Missing Discount",
X420="Flagged for Review"),
"Warning",
"Clean"))</f>
        <v>Clean</v>
      </c>
      <c r="AD420">
        <f t="shared" si="65"/>
        <v>0</v>
      </c>
      <c r="AE420">
        <f>N420*O420*(1-AD420)</f>
        <v>21962.400000000001</v>
      </c>
      <c r="AF420">
        <f>AE420-R420</f>
        <v>6630.4100000000017</v>
      </c>
      <c r="AG420" s="3">
        <f t="shared" si="66"/>
        <v>0.3018982442720286</v>
      </c>
      <c r="AH420" t="str">
        <f t="shared" si="67"/>
        <v>November</v>
      </c>
      <c r="AI420">
        <f t="shared" si="68"/>
        <v>2024</v>
      </c>
    </row>
    <row r="421" spans="1:35">
      <c r="A421" t="s">
        <v>1373</v>
      </c>
      <c r="B421" s="2">
        <v>45926</v>
      </c>
      <c r="C421" s="2">
        <v>45930</v>
      </c>
      <c r="D421" t="s">
        <v>1374</v>
      </c>
      <c r="E421" t="s">
        <v>146</v>
      </c>
      <c r="F421" t="s">
        <v>109</v>
      </c>
      <c r="G421" t="s">
        <v>39</v>
      </c>
      <c r="H421" t="s">
        <v>251</v>
      </c>
      <c r="I421" t="s">
        <v>252</v>
      </c>
      <c r="J421" t="s">
        <v>88</v>
      </c>
      <c r="K421" t="s">
        <v>185</v>
      </c>
      <c r="L421" t="s">
        <v>1375</v>
      </c>
      <c r="M421" t="s">
        <v>58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46</v>
      </c>
      <c r="U421" t="s">
        <v>47</v>
      </c>
      <c r="V421" t="str">
        <f t="shared" si="59"/>
        <v>Valid</v>
      </c>
      <c r="W421">
        <f t="shared" si="60"/>
        <v>4</v>
      </c>
      <c r="Y421" t="str">
        <f t="shared" si="61"/>
        <v>OK</v>
      </c>
      <c r="Z421" t="str">
        <f t="shared" si="62"/>
        <v>OK</v>
      </c>
      <c r="AA421" t="str">
        <f t="shared" si="63"/>
        <v>OK</v>
      </c>
      <c r="AB421" t="str">
        <f t="shared" si="64"/>
        <v>Valid</v>
      </c>
      <c r="AC421" t="str">
        <f>IF(OR(AB421="Invalid Discount",V421="Invalid Shipping"),
"Invalid",
IF(OR(Y421="Missing Region",
Z421="Missing Ship Mode",
AA421="Missing Discount",
X421="Flagged for Review"),
"Warning",
"Clean"))</f>
        <v>Clean</v>
      </c>
      <c r="AD421">
        <f t="shared" si="65"/>
        <v>0.05</v>
      </c>
      <c r="AE421">
        <f>N421*O421*(1-AD421)</f>
        <v>1308.777</v>
      </c>
      <c r="AF421">
        <f>AE421-R421</f>
        <v>465.77700000000004</v>
      </c>
      <c r="AG421" s="3">
        <f t="shared" si="66"/>
        <v>0.35588721378813964</v>
      </c>
      <c r="AH421" t="str">
        <f t="shared" si="67"/>
        <v>September</v>
      </c>
      <c r="AI421">
        <f t="shared" si="68"/>
        <v>2025</v>
      </c>
    </row>
    <row r="422" spans="1:35">
      <c r="A422" t="s">
        <v>1376</v>
      </c>
      <c r="B422" s="2">
        <v>45734</v>
      </c>
      <c r="C422" s="2">
        <v>45735</v>
      </c>
      <c r="D422" t="s">
        <v>1377</v>
      </c>
      <c r="E422" t="s">
        <v>61</v>
      </c>
      <c r="F422" t="s">
        <v>104</v>
      </c>
      <c r="G422" t="s">
        <v>68</v>
      </c>
      <c r="H422" t="s">
        <v>262</v>
      </c>
      <c r="I422" t="s">
        <v>263</v>
      </c>
      <c r="J422" t="s">
        <v>88</v>
      </c>
      <c r="K422" t="s">
        <v>289</v>
      </c>
      <c r="L422" t="s">
        <v>1378</v>
      </c>
      <c r="M422" t="s">
        <v>73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125</v>
      </c>
      <c r="U422" t="s">
        <v>82</v>
      </c>
      <c r="V422" t="str">
        <f t="shared" si="59"/>
        <v>Valid</v>
      </c>
      <c r="W422">
        <f t="shared" si="60"/>
        <v>1</v>
      </c>
      <c r="Y422" t="str">
        <f t="shared" si="61"/>
        <v>OK</v>
      </c>
      <c r="Z422" t="str">
        <f t="shared" si="62"/>
        <v>OK</v>
      </c>
      <c r="AA422" t="str">
        <f t="shared" si="63"/>
        <v>OK</v>
      </c>
      <c r="AB422" t="str">
        <f t="shared" si="64"/>
        <v>Valid</v>
      </c>
      <c r="AC422" t="str">
        <f>IF(OR(AB422="Invalid Discount",V422="Invalid Shipping"),
"Invalid",
IF(OR(Y422="Missing Region",
Z422="Missing Ship Mode",
AA422="Missing Discount",
X422="Flagged for Review"),
"Warning",
"Clean"))</f>
        <v>Clean</v>
      </c>
      <c r="AD422">
        <f t="shared" si="65"/>
        <v>0.25</v>
      </c>
      <c r="AE422">
        <f>N422*O422*(1-AD422)</f>
        <v>1814.9850000000001</v>
      </c>
      <c r="AF422">
        <f>AE422-R422</f>
        <v>694.92500000000018</v>
      </c>
      <c r="AG422" s="3">
        <f t="shared" si="66"/>
        <v>0.38288195219244242</v>
      </c>
      <c r="AH422" t="str">
        <f t="shared" si="67"/>
        <v>March</v>
      </c>
      <c r="AI422">
        <f t="shared" si="68"/>
        <v>2025</v>
      </c>
    </row>
    <row r="423" spans="1:35">
      <c r="A423" t="s">
        <v>1379</v>
      </c>
      <c r="B423" s="2">
        <v>45822</v>
      </c>
      <c r="C423" s="2">
        <v>45827</v>
      </c>
      <c r="D423" t="s">
        <v>1380</v>
      </c>
      <c r="E423" t="s">
        <v>155</v>
      </c>
      <c r="F423" t="s">
        <v>51</v>
      </c>
      <c r="G423" t="s">
        <v>39</v>
      </c>
      <c r="H423" t="s">
        <v>365</v>
      </c>
      <c r="I423" t="s">
        <v>366</v>
      </c>
      <c r="J423" t="s">
        <v>42</v>
      </c>
      <c r="K423" t="s">
        <v>167</v>
      </c>
      <c r="L423" t="s">
        <v>1381</v>
      </c>
      <c r="M423" t="s">
        <v>58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125</v>
      </c>
      <c r="U423" t="s">
        <v>117</v>
      </c>
      <c r="V423" t="str">
        <f t="shared" si="59"/>
        <v>Valid</v>
      </c>
      <c r="W423">
        <f t="shared" si="60"/>
        <v>5</v>
      </c>
      <c r="Y423" t="str">
        <f t="shared" si="61"/>
        <v>OK</v>
      </c>
      <c r="Z423" t="str">
        <f t="shared" si="62"/>
        <v>OK</v>
      </c>
      <c r="AA423" t="str">
        <f t="shared" si="63"/>
        <v>OK</v>
      </c>
      <c r="AB423" t="str">
        <f t="shared" si="64"/>
        <v>Valid</v>
      </c>
      <c r="AC423" t="str">
        <f>IF(OR(AB423="Invalid Discount",V423="Invalid Shipping"),
"Invalid",
IF(OR(Y423="Missing Region",
Z423="Missing Ship Mode",
AA423="Missing Discount",
X423="Flagged for Review"),
"Warning",
"Clean"))</f>
        <v>Clean</v>
      </c>
      <c r="AD423">
        <f t="shared" si="65"/>
        <v>0.2</v>
      </c>
      <c r="AE423">
        <f>N423*O423*(1-AD423)</f>
        <v>2489.8800000000006</v>
      </c>
      <c r="AF423">
        <f>AE423-R423</f>
        <v>782.36000000000058</v>
      </c>
      <c r="AG423" s="3">
        <f t="shared" si="66"/>
        <v>0.31421594615001541</v>
      </c>
      <c r="AH423" t="str">
        <f t="shared" si="67"/>
        <v>June</v>
      </c>
      <c r="AI423">
        <f t="shared" si="68"/>
        <v>2025</v>
      </c>
    </row>
    <row r="424" spans="1:35">
      <c r="A424" t="s">
        <v>1382</v>
      </c>
      <c r="B424" s="2">
        <v>45903</v>
      </c>
      <c r="C424" s="2">
        <v>45906</v>
      </c>
      <c r="D424" t="s">
        <v>1383</v>
      </c>
      <c r="E424" t="s">
        <v>279</v>
      </c>
      <c r="F424" t="s">
        <v>38</v>
      </c>
      <c r="G424" t="s">
        <v>77</v>
      </c>
      <c r="H424" t="s">
        <v>86</v>
      </c>
      <c r="I424" t="s">
        <v>87</v>
      </c>
      <c r="J424" t="s">
        <v>88</v>
      </c>
      <c r="K424" t="s">
        <v>94</v>
      </c>
      <c r="L424" t="s">
        <v>1384</v>
      </c>
      <c r="M424" t="s">
        <v>58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46</v>
      </c>
      <c r="U424" t="s">
        <v>47</v>
      </c>
      <c r="V424" t="str">
        <f t="shared" si="59"/>
        <v>Valid</v>
      </c>
      <c r="W424">
        <f t="shared" si="60"/>
        <v>3</v>
      </c>
      <c r="Y424" t="str">
        <f t="shared" si="61"/>
        <v>OK</v>
      </c>
      <c r="Z424" t="str">
        <f t="shared" si="62"/>
        <v>OK</v>
      </c>
      <c r="AA424" t="str">
        <f t="shared" si="63"/>
        <v>OK</v>
      </c>
      <c r="AB424" t="str">
        <f t="shared" si="64"/>
        <v>Valid</v>
      </c>
      <c r="AC424" t="str">
        <f>IF(OR(AB424="Invalid Discount",V424="Invalid Shipping"),
"Invalid",
IF(OR(Y424="Missing Region",
Z424="Missing Ship Mode",
AA424="Missing Discount",
X424="Flagged for Review"),
"Warning",
"Clean"))</f>
        <v>Clean</v>
      </c>
      <c r="AD424">
        <f t="shared" si="65"/>
        <v>0.15</v>
      </c>
      <c r="AE424">
        <f>N424*O424*(1-AD424)</f>
        <v>4098.6574999999993</v>
      </c>
      <c r="AF424">
        <f>AE424-R424</f>
        <v>1420.5974999999994</v>
      </c>
      <c r="AG424" s="3">
        <f t="shared" si="66"/>
        <v>0.34660068571233377</v>
      </c>
      <c r="AH424" t="str">
        <f t="shared" si="67"/>
        <v>September</v>
      </c>
      <c r="AI424">
        <f t="shared" si="68"/>
        <v>2025</v>
      </c>
    </row>
    <row r="425" spans="1:35">
      <c r="A425" t="s">
        <v>1385</v>
      </c>
      <c r="B425" s="2">
        <v>45342</v>
      </c>
      <c r="C425" s="2">
        <v>45349</v>
      </c>
      <c r="D425" t="s">
        <v>1386</v>
      </c>
      <c r="E425" t="s">
        <v>176</v>
      </c>
      <c r="F425" t="s">
        <v>38</v>
      </c>
      <c r="G425" t="s">
        <v>68</v>
      </c>
      <c r="H425" t="s">
        <v>199</v>
      </c>
      <c r="I425" t="s">
        <v>200</v>
      </c>
      <c r="J425" t="s">
        <v>88</v>
      </c>
      <c r="K425" t="s">
        <v>89</v>
      </c>
      <c r="L425" t="s">
        <v>1387</v>
      </c>
      <c r="M425" t="s">
        <v>64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46</v>
      </c>
      <c r="U425" t="s">
        <v>47</v>
      </c>
      <c r="V425" t="str">
        <f t="shared" si="59"/>
        <v>Valid</v>
      </c>
      <c r="W425">
        <f t="shared" si="60"/>
        <v>7</v>
      </c>
      <c r="X425" t="s">
        <v>398</v>
      </c>
      <c r="Y425" t="str">
        <f t="shared" si="61"/>
        <v>OK</v>
      </c>
      <c r="Z425" t="str">
        <f t="shared" si="62"/>
        <v>OK</v>
      </c>
      <c r="AA425" t="str">
        <f t="shared" si="63"/>
        <v>OK</v>
      </c>
      <c r="AB425" t="str">
        <f t="shared" si="64"/>
        <v>Valid</v>
      </c>
      <c r="AC425" t="str">
        <f>IF(OR(AB425="Invalid Discount",V425="Invalid Shipping"),
"Invalid",
IF(OR(Y425="Missing Region",
Z425="Missing Ship Mode",
AA425="Missing Discount",
X425="Flagged for Review"),
"Warning",
"Clean"))</f>
        <v>Warning</v>
      </c>
      <c r="AD425">
        <f t="shared" si="65"/>
        <v>0.2</v>
      </c>
      <c r="AE425">
        <f>N425*O425*(1-AD425)</f>
        <v>27211.032000000003</v>
      </c>
      <c r="AF425">
        <f>AE425-R425</f>
        <v>9270.6020000000026</v>
      </c>
      <c r="AG425" s="3">
        <f t="shared" si="66"/>
        <v>0.34069277490100347</v>
      </c>
      <c r="AH425" t="str">
        <f t="shared" si="67"/>
        <v>February</v>
      </c>
      <c r="AI425">
        <f t="shared" si="68"/>
        <v>2024</v>
      </c>
    </row>
    <row r="426" spans="1:35">
      <c r="A426" t="s">
        <v>1388</v>
      </c>
      <c r="B426" s="2">
        <v>45469</v>
      </c>
      <c r="C426" s="2">
        <v>45472</v>
      </c>
      <c r="D426" t="s">
        <v>1389</v>
      </c>
      <c r="E426" t="s">
        <v>93</v>
      </c>
      <c r="F426" t="s">
        <v>104</v>
      </c>
      <c r="G426" t="s">
        <v>39</v>
      </c>
      <c r="H426" t="s">
        <v>136</v>
      </c>
      <c r="I426" t="s">
        <v>137</v>
      </c>
      <c r="J426" t="s">
        <v>88</v>
      </c>
      <c r="K426" t="s">
        <v>185</v>
      </c>
      <c r="L426" t="s">
        <v>1390</v>
      </c>
      <c r="M426" t="s">
        <v>73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46</v>
      </c>
      <c r="U426" t="s">
        <v>47</v>
      </c>
      <c r="V426" t="str">
        <f t="shared" si="59"/>
        <v>Valid</v>
      </c>
      <c r="W426">
        <f t="shared" si="60"/>
        <v>3</v>
      </c>
      <c r="Y426" t="str">
        <f t="shared" si="61"/>
        <v>OK</v>
      </c>
      <c r="Z426" t="str">
        <f t="shared" si="62"/>
        <v>OK</v>
      </c>
      <c r="AA426" t="str">
        <f t="shared" si="63"/>
        <v>OK</v>
      </c>
      <c r="AB426" t="str">
        <f t="shared" si="64"/>
        <v>Valid</v>
      </c>
      <c r="AC426" t="str">
        <f>IF(OR(AB426="Invalid Discount",V426="Invalid Shipping"),
"Invalid",
IF(OR(Y426="Missing Region",
Z426="Missing Ship Mode",
AA426="Missing Discount",
X426="Flagged for Review"),
"Warning",
"Clean"))</f>
        <v>Clean</v>
      </c>
      <c r="AD426">
        <f t="shared" si="65"/>
        <v>0</v>
      </c>
      <c r="AE426">
        <f>N426*O426*(1-AD426)</f>
        <v>6436.16</v>
      </c>
      <c r="AF426">
        <f>AE426-R426</f>
        <v>2172.33</v>
      </c>
      <c r="AG426" s="3">
        <f t="shared" si="66"/>
        <v>0.33751957689056827</v>
      </c>
      <c r="AH426" t="str">
        <f t="shared" si="67"/>
        <v>June</v>
      </c>
      <c r="AI426">
        <f t="shared" si="68"/>
        <v>2024</v>
      </c>
    </row>
    <row r="427" spans="1:35">
      <c r="A427" t="s">
        <v>1391</v>
      </c>
      <c r="B427" s="2">
        <v>45561</v>
      </c>
      <c r="C427" s="2">
        <v>45562</v>
      </c>
      <c r="D427" t="s">
        <v>1392</v>
      </c>
      <c r="E427" t="s">
        <v>61</v>
      </c>
      <c r="F427" t="s">
        <v>109</v>
      </c>
      <c r="G427" t="s">
        <v>39</v>
      </c>
      <c r="H427" t="s">
        <v>365</v>
      </c>
      <c r="I427" t="s">
        <v>366</v>
      </c>
      <c r="J427" t="s">
        <v>42</v>
      </c>
      <c r="K427" t="s">
        <v>105</v>
      </c>
      <c r="L427" t="s">
        <v>1393</v>
      </c>
      <c r="M427" t="s">
        <v>64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116</v>
      </c>
      <c r="U427" t="s">
        <v>82</v>
      </c>
      <c r="V427" t="str">
        <f t="shared" si="59"/>
        <v>Valid</v>
      </c>
      <c r="W427">
        <f t="shared" si="60"/>
        <v>1</v>
      </c>
      <c r="Y427" t="str">
        <f t="shared" si="61"/>
        <v>OK</v>
      </c>
      <c r="Z427" t="str">
        <f t="shared" si="62"/>
        <v>OK</v>
      </c>
      <c r="AA427" t="str">
        <f t="shared" si="63"/>
        <v>OK</v>
      </c>
      <c r="AB427" t="str">
        <f t="shared" si="64"/>
        <v>Valid</v>
      </c>
      <c r="AC427" t="str">
        <f>IF(OR(AB427="Invalid Discount",V427="Invalid Shipping"),
"Invalid",
IF(OR(Y427="Missing Region",
Z427="Missing Ship Mode",
AA427="Missing Discount",
X427="Flagged for Review"),
"Warning",
"Clean"))</f>
        <v>Clean</v>
      </c>
      <c r="AD427">
        <f t="shared" si="65"/>
        <v>0.1</v>
      </c>
      <c r="AE427">
        <f>N427*O427*(1-AD427)</f>
        <v>1918.2420000000002</v>
      </c>
      <c r="AF427">
        <f>AE427-R427</f>
        <v>544.72200000000021</v>
      </c>
      <c r="AG427" s="3">
        <f t="shared" si="66"/>
        <v>0.2839693844676533</v>
      </c>
      <c r="AH427" t="str">
        <f t="shared" si="67"/>
        <v>September</v>
      </c>
      <c r="AI427">
        <f t="shared" si="68"/>
        <v>2024</v>
      </c>
    </row>
    <row r="428" spans="1:35">
      <c r="A428" t="s">
        <v>1394</v>
      </c>
      <c r="B428" s="2">
        <v>45473</v>
      </c>
      <c r="C428" s="2">
        <v>45474</v>
      </c>
      <c r="D428" t="s">
        <v>1395</v>
      </c>
      <c r="E428" t="s">
        <v>103</v>
      </c>
      <c r="F428" t="s">
        <v>38</v>
      </c>
      <c r="G428" t="s">
        <v>39</v>
      </c>
      <c r="H428" t="s">
        <v>251</v>
      </c>
      <c r="I428" t="s">
        <v>252</v>
      </c>
      <c r="J428" t="s">
        <v>88</v>
      </c>
      <c r="K428" t="s">
        <v>94</v>
      </c>
      <c r="L428" t="s">
        <v>1396</v>
      </c>
      <c r="M428" t="s">
        <v>58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46</v>
      </c>
      <c r="U428" t="s">
        <v>47</v>
      </c>
      <c r="V428" t="str">
        <f t="shared" si="59"/>
        <v>Valid</v>
      </c>
      <c r="W428">
        <f t="shared" si="60"/>
        <v>1</v>
      </c>
      <c r="Y428" t="str">
        <f t="shared" si="61"/>
        <v>OK</v>
      </c>
      <c r="Z428" t="str">
        <f t="shared" si="62"/>
        <v>OK</v>
      </c>
      <c r="AA428" t="str">
        <f t="shared" si="63"/>
        <v>OK</v>
      </c>
      <c r="AB428" t="str">
        <f t="shared" si="64"/>
        <v>Valid</v>
      </c>
      <c r="AC428" t="str">
        <f>IF(OR(AB428="Invalid Discount",V428="Invalid Shipping"),
"Invalid",
IF(OR(Y428="Missing Region",
Z428="Missing Ship Mode",
AA428="Missing Discount",
X428="Flagged for Review"),
"Warning",
"Clean"))</f>
        <v>Clean</v>
      </c>
      <c r="AD428">
        <f t="shared" si="65"/>
        <v>0.1</v>
      </c>
      <c r="AE428">
        <f>N428*O428*(1-AD428)</f>
        <v>27047.952000000001</v>
      </c>
      <c r="AF428">
        <f>AE428-R428</f>
        <v>8616.6219999999994</v>
      </c>
      <c r="AG428" s="3">
        <f t="shared" si="66"/>
        <v>0.31856837072174626</v>
      </c>
      <c r="AH428" t="str">
        <f t="shared" si="67"/>
        <v>June</v>
      </c>
      <c r="AI428">
        <f t="shared" si="68"/>
        <v>2024</v>
      </c>
    </row>
    <row r="429" spans="1:35">
      <c r="A429" t="s">
        <v>1397</v>
      </c>
      <c r="B429" s="2">
        <v>45769</v>
      </c>
      <c r="C429" s="2">
        <v>45771</v>
      </c>
      <c r="D429" t="s">
        <v>1398</v>
      </c>
      <c r="E429" t="s">
        <v>61</v>
      </c>
      <c r="F429" t="s">
        <v>104</v>
      </c>
      <c r="G429" t="s">
        <v>219</v>
      </c>
      <c r="H429" t="s">
        <v>243</v>
      </c>
      <c r="I429" t="s">
        <v>244</v>
      </c>
      <c r="J429" t="s">
        <v>88</v>
      </c>
      <c r="K429" t="s">
        <v>89</v>
      </c>
      <c r="L429" t="s">
        <v>1399</v>
      </c>
      <c r="M429" t="s">
        <v>73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46</v>
      </c>
      <c r="U429" t="s">
        <v>47</v>
      </c>
      <c r="V429" t="str">
        <f t="shared" si="59"/>
        <v>Valid</v>
      </c>
      <c r="W429">
        <f t="shared" si="60"/>
        <v>2</v>
      </c>
      <c r="Y429" t="str">
        <f t="shared" si="61"/>
        <v>Missing Region</v>
      </c>
      <c r="Z429" t="str">
        <f t="shared" si="62"/>
        <v>OK</v>
      </c>
      <c r="AA429" t="str">
        <f t="shared" si="63"/>
        <v>OK</v>
      </c>
      <c r="AB429" t="str">
        <f t="shared" si="64"/>
        <v>Valid</v>
      </c>
      <c r="AC429" t="str">
        <f>IF(OR(AB429="Invalid Discount",V429="Invalid Shipping"),
"Invalid",
IF(OR(Y429="Missing Region",
Z429="Missing Ship Mode",
AA429="Missing Discount",
X429="Flagged for Review"),
"Warning",
"Clean"))</f>
        <v>Warning</v>
      </c>
      <c r="AD429">
        <f t="shared" si="65"/>
        <v>0</v>
      </c>
      <c r="AE429">
        <f>N429*O429*(1-AD429)</f>
        <v>26454.959999999999</v>
      </c>
      <c r="AF429">
        <f>AE429-R429</f>
        <v>8824.7099999999991</v>
      </c>
      <c r="AG429" s="3">
        <f t="shared" si="66"/>
        <v>0.33357487594008833</v>
      </c>
      <c r="AH429" t="str">
        <f t="shared" si="67"/>
        <v>April</v>
      </c>
      <c r="AI429">
        <f t="shared" si="68"/>
        <v>2025</v>
      </c>
    </row>
    <row r="430" spans="1:35">
      <c r="A430" t="s">
        <v>1400</v>
      </c>
      <c r="B430" s="2">
        <v>45731</v>
      </c>
      <c r="C430" s="2">
        <v>45738</v>
      </c>
      <c r="D430" t="s">
        <v>1401</v>
      </c>
      <c r="E430" t="s">
        <v>37</v>
      </c>
      <c r="F430" t="s">
        <v>51</v>
      </c>
      <c r="G430" t="s">
        <v>52</v>
      </c>
      <c r="H430" t="s">
        <v>113</v>
      </c>
      <c r="I430" t="s">
        <v>114</v>
      </c>
      <c r="J430" t="s">
        <v>88</v>
      </c>
      <c r="K430" t="s">
        <v>185</v>
      </c>
      <c r="L430" t="s">
        <v>1402</v>
      </c>
      <c r="M430" t="s">
        <v>58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125</v>
      </c>
      <c r="U430" t="s">
        <v>82</v>
      </c>
      <c r="V430" t="str">
        <f t="shared" si="59"/>
        <v>Valid</v>
      </c>
      <c r="W430">
        <f t="shared" si="60"/>
        <v>7</v>
      </c>
      <c r="Y430" t="str">
        <f t="shared" si="61"/>
        <v>OK</v>
      </c>
      <c r="Z430" t="str">
        <f t="shared" si="62"/>
        <v>OK</v>
      </c>
      <c r="AA430" t="str">
        <f t="shared" si="63"/>
        <v>OK</v>
      </c>
      <c r="AB430" t="str">
        <f t="shared" si="64"/>
        <v>Valid</v>
      </c>
      <c r="AC430" t="str">
        <f>IF(OR(AB430="Invalid Discount",V430="Invalid Shipping"),
"Invalid",
IF(OR(Y430="Missing Region",
Z430="Missing Ship Mode",
AA430="Missing Discount",
X430="Flagged for Review"),
"Warning",
"Clean"))</f>
        <v>Clean</v>
      </c>
      <c r="AD430">
        <f t="shared" si="65"/>
        <v>0.25</v>
      </c>
      <c r="AE430">
        <f>N430*O430*(1-AD430)</f>
        <v>1853.895</v>
      </c>
      <c r="AF430">
        <f>AE430-R430</f>
        <v>752.66499999999996</v>
      </c>
      <c r="AG430" s="3">
        <f t="shared" si="66"/>
        <v>0.40599116994220275</v>
      </c>
      <c r="AH430" t="str">
        <f t="shared" si="67"/>
        <v>March</v>
      </c>
      <c r="AI430">
        <f t="shared" si="68"/>
        <v>2025</v>
      </c>
    </row>
    <row r="431" spans="1:35">
      <c r="A431" t="s">
        <v>1403</v>
      </c>
      <c r="B431" s="2">
        <v>45717</v>
      </c>
      <c r="C431" s="2">
        <v>45724</v>
      </c>
      <c r="D431" t="s">
        <v>1404</v>
      </c>
      <c r="E431" t="s">
        <v>93</v>
      </c>
      <c r="F431" t="s">
        <v>109</v>
      </c>
      <c r="G431" t="s">
        <v>39</v>
      </c>
      <c r="H431" t="s">
        <v>40</v>
      </c>
      <c r="I431" t="s">
        <v>41</v>
      </c>
      <c r="J431" t="s">
        <v>88</v>
      </c>
      <c r="K431" t="s">
        <v>94</v>
      </c>
      <c r="L431" t="s">
        <v>1405</v>
      </c>
      <c r="M431" t="s">
        <v>58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46</v>
      </c>
      <c r="U431" t="s">
        <v>47</v>
      </c>
      <c r="V431" t="str">
        <f t="shared" si="59"/>
        <v>Valid</v>
      </c>
      <c r="W431">
        <f t="shared" si="60"/>
        <v>7</v>
      </c>
      <c r="Y431" t="str">
        <f t="shared" si="61"/>
        <v>OK</v>
      </c>
      <c r="Z431" t="str">
        <f t="shared" si="62"/>
        <v>OK</v>
      </c>
      <c r="AA431" t="str">
        <f t="shared" si="63"/>
        <v>OK</v>
      </c>
      <c r="AB431" t="str">
        <f t="shared" si="64"/>
        <v>Valid</v>
      </c>
      <c r="AC431" t="str">
        <f>IF(OR(AB431="Invalid Discount",V431="Invalid Shipping"),
"Invalid",
IF(OR(Y431="Missing Region",
Z431="Missing Ship Mode",
AA431="Missing Discount",
X431="Flagged for Review"),
"Warning",
"Clean"))</f>
        <v>Clean</v>
      </c>
      <c r="AD431">
        <f t="shared" si="65"/>
        <v>0.25</v>
      </c>
      <c r="AE431">
        <f>N431*O431*(1-AD431)</f>
        <v>17658.599999999999</v>
      </c>
      <c r="AF431">
        <f>AE431-R431</f>
        <v>3816.119999999999</v>
      </c>
      <c r="AG431" s="3">
        <f t="shared" si="66"/>
        <v>0.2161054670245659</v>
      </c>
      <c r="AH431" t="str">
        <f t="shared" si="67"/>
        <v>March</v>
      </c>
      <c r="AI431">
        <f t="shared" si="68"/>
        <v>2025</v>
      </c>
    </row>
    <row r="432" spans="1:35">
      <c r="A432" t="s">
        <v>1406</v>
      </c>
      <c r="B432" s="2">
        <v>45534</v>
      </c>
      <c r="C432" s="2">
        <v>45537</v>
      </c>
      <c r="D432" t="s">
        <v>1407</v>
      </c>
      <c r="E432" t="s">
        <v>93</v>
      </c>
      <c r="F432" t="s">
        <v>51</v>
      </c>
      <c r="G432" t="s">
        <v>39</v>
      </c>
      <c r="H432" t="s">
        <v>251</v>
      </c>
      <c r="I432" t="s">
        <v>252</v>
      </c>
      <c r="J432" t="s">
        <v>42</v>
      </c>
      <c r="K432" t="s">
        <v>43</v>
      </c>
      <c r="L432" t="s">
        <v>1408</v>
      </c>
      <c r="M432" t="s">
        <v>45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46</v>
      </c>
      <c r="U432" t="s">
        <v>47</v>
      </c>
      <c r="V432" t="str">
        <f t="shared" si="59"/>
        <v>Valid</v>
      </c>
      <c r="W432">
        <f t="shared" si="60"/>
        <v>3</v>
      </c>
      <c r="Y432" t="str">
        <f t="shared" si="61"/>
        <v>OK</v>
      </c>
      <c r="Z432" t="str">
        <f t="shared" si="62"/>
        <v>OK</v>
      </c>
      <c r="AA432" t="str">
        <f t="shared" si="63"/>
        <v>OK</v>
      </c>
      <c r="AB432" t="str">
        <f t="shared" si="64"/>
        <v>Valid</v>
      </c>
      <c r="AC432" t="str">
        <f>IF(OR(AB432="Invalid Discount",V432="Invalid Shipping"),
"Invalid",
IF(OR(Y432="Missing Region",
Z432="Missing Ship Mode",
AA432="Missing Discount",
X432="Flagged for Review"),
"Warning",
"Clean"))</f>
        <v>Clean</v>
      </c>
      <c r="AD432">
        <f t="shared" si="65"/>
        <v>0.15</v>
      </c>
      <c r="AE432">
        <f>N432*O432*(1-AD432)</f>
        <v>3672.7139999999999</v>
      </c>
      <c r="AF432">
        <f>AE432-R432</f>
        <v>958.48399999999992</v>
      </c>
      <c r="AG432" s="3">
        <f t="shared" si="66"/>
        <v>0.26097430946161337</v>
      </c>
      <c r="AH432" t="str">
        <f t="shared" si="67"/>
        <v>August</v>
      </c>
      <c r="AI432">
        <f t="shared" si="68"/>
        <v>2024</v>
      </c>
    </row>
    <row r="433" spans="1:35">
      <c r="A433" t="s">
        <v>1409</v>
      </c>
      <c r="B433" s="2">
        <v>45332</v>
      </c>
      <c r="C433" s="2">
        <v>45335</v>
      </c>
      <c r="D433" t="s">
        <v>1410</v>
      </c>
      <c r="E433" t="s">
        <v>37</v>
      </c>
      <c r="F433" t="s">
        <v>109</v>
      </c>
      <c r="G433" t="s">
        <v>77</v>
      </c>
      <c r="H433" t="s">
        <v>204</v>
      </c>
      <c r="I433" t="s">
        <v>205</v>
      </c>
      <c r="J433" t="s">
        <v>88</v>
      </c>
      <c r="K433" t="s">
        <v>289</v>
      </c>
      <c r="L433" t="s">
        <v>1411</v>
      </c>
      <c r="M433" t="s">
        <v>58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46</v>
      </c>
      <c r="U433" t="s">
        <v>47</v>
      </c>
      <c r="V433" t="str">
        <f t="shared" si="59"/>
        <v>Valid</v>
      </c>
      <c r="W433">
        <f t="shared" si="60"/>
        <v>3</v>
      </c>
      <c r="Y433" t="str">
        <f t="shared" si="61"/>
        <v>OK</v>
      </c>
      <c r="Z433" t="str">
        <f t="shared" si="62"/>
        <v>OK</v>
      </c>
      <c r="AA433" t="str">
        <f t="shared" si="63"/>
        <v>OK</v>
      </c>
      <c r="AB433" t="str">
        <f t="shared" si="64"/>
        <v>Valid</v>
      </c>
      <c r="AC433" t="str">
        <f>IF(OR(AB433="Invalid Discount",V433="Invalid Shipping"),
"Invalid",
IF(OR(Y433="Missing Region",
Z433="Missing Ship Mode",
AA433="Missing Discount",
X433="Flagged for Review"),
"Warning",
"Clean"))</f>
        <v>Clean</v>
      </c>
      <c r="AD433">
        <f t="shared" si="65"/>
        <v>0.25</v>
      </c>
      <c r="AE433">
        <f>N433*O433*(1-AD433)</f>
        <v>6177.6749999999993</v>
      </c>
      <c r="AF433">
        <f>AE433-R433</f>
        <v>1656.9249999999993</v>
      </c>
      <c r="AG433" s="3">
        <f t="shared" si="66"/>
        <v>0.26821174632851347</v>
      </c>
      <c r="AH433" t="str">
        <f t="shared" si="67"/>
        <v>February</v>
      </c>
      <c r="AI433">
        <f t="shared" si="68"/>
        <v>2024</v>
      </c>
    </row>
    <row r="434" spans="1:35">
      <c r="A434" t="s">
        <v>1412</v>
      </c>
      <c r="B434" s="2">
        <v>45533</v>
      </c>
      <c r="C434" s="2">
        <v>45537</v>
      </c>
      <c r="D434" t="s">
        <v>1413</v>
      </c>
      <c r="E434" t="s">
        <v>128</v>
      </c>
      <c r="F434" t="s">
        <v>51</v>
      </c>
      <c r="G434" t="s">
        <v>77</v>
      </c>
      <c r="H434" t="s">
        <v>78</v>
      </c>
      <c r="I434" t="s">
        <v>79</v>
      </c>
      <c r="J434" t="s">
        <v>55</v>
      </c>
      <c r="K434" t="s">
        <v>172</v>
      </c>
      <c r="L434" t="s">
        <v>1414</v>
      </c>
      <c r="M434" t="s">
        <v>73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46</v>
      </c>
      <c r="U434" t="s">
        <v>47</v>
      </c>
      <c r="V434" t="str">
        <f t="shared" si="59"/>
        <v>Valid</v>
      </c>
      <c r="W434">
        <f t="shared" si="60"/>
        <v>4</v>
      </c>
      <c r="Y434" t="str">
        <f t="shared" si="61"/>
        <v>OK</v>
      </c>
      <c r="Z434" t="str">
        <f t="shared" si="62"/>
        <v>OK</v>
      </c>
      <c r="AA434" t="str">
        <f t="shared" si="63"/>
        <v>OK</v>
      </c>
      <c r="AB434" t="str">
        <f t="shared" si="64"/>
        <v>Valid</v>
      </c>
      <c r="AC434" t="str">
        <f>IF(OR(AB434="Invalid Discount",V434="Invalid Shipping"),
"Invalid",
IF(OR(Y434="Missing Region",
Z434="Missing Ship Mode",
AA434="Missing Discount",
X434="Flagged for Review"),
"Warning",
"Clean"))</f>
        <v>Clean</v>
      </c>
      <c r="AD434">
        <f t="shared" si="65"/>
        <v>0.05</v>
      </c>
      <c r="AE434">
        <f>N434*O434*(1-AD434)</f>
        <v>985.07400000000007</v>
      </c>
      <c r="AF434">
        <f>AE434-R434</f>
        <v>140.59400000000005</v>
      </c>
      <c r="AG434" s="3">
        <f t="shared" si="66"/>
        <v>0.14272430294576857</v>
      </c>
      <c r="AH434" t="str">
        <f t="shared" si="67"/>
        <v>August</v>
      </c>
      <c r="AI434">
        <f t="shared" si="68"/>
        <v>2024</v>
      </c>
    </row>
    <row r="435" spans="1:35">
      <c r="A435" t="s">
        <v>1415</v>
      </c>
      <c r="B435" s="2">
        <v>45401</v>
      </c>
      <c r="C435" s="2">
        <v>45402</v>
      </c>
      <c r="D435" t="s">
        <v>1416</v>
      </c>
      <c r="E435" t="s">
        <v>128</v>
      </c>
      <c r="F435" t="s">
        <v>104</v>
      </c>
      <c r="G435" t="s">
        <v>68</v>
      </c>
      <c r="H435" t="s">
        <v>199</v>
      </c>
      <c r="I435" t="s">
        <v>200</v>
      </c>
      <c r="J435" t="s">
        <v>42</v>
      </c>
      <c r="K435" t="s">
        <v>62</v>
      </c>
      <c r="L435" t="s">
        <v>1417</v>
      </c>
      <c r="M435" t="s">
        <v>45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116</v>
      </c>
      <c r="U435" t="s">
        <v>117</v>
      </c>
      <c r="V435" t="str">
        <f t="shared" si="59"/>
        <v>Valid</v>
      </c>
      <c r="W435">
        <f t="shared" si="60"/>
        <v>1</v>
      </c>
      <c r="Y435" t="str">
        <f t="shared" si="61"/>
        <v>OK</v>
      </c>
      <c r="Z435" t="str">
        <f t="shared" si="62"/>
        <v>OK</v>
      </c>
      <c r="AA435" t="str">
        <f t="shared" si="63"/>
        <v>OK</v>
      </c>
      <c r="AB435" t="str">
        <f t="shared" si="64"/>
        <v>Valid</v>
      </c>
      <c r="AC435" t="str">
        <f>IF(OR(AB435="Invalid Discount",V435="Invalid Shipping"),
"Invalid",
IF(OR(Y435="Missing Region",
Z435="Missing Ship Mode",
AA435="Missing Discount",
X435="Flagged for Review"),
"Warning",
"Clean"))</f>
        <v>Clean</v>
      </c>
      <c r="AD435">
        <f t="shared" si="65"/>
        <v>0</v>
      </c>
      <c r="AE435">
        <f>N435*O435*(1-AD435)</f>
        <v>6160.88</v>
      </c>
      <c r="AF435">
        <f>AE435-R435</f>
        <v>1222.1800000000003</v>
      </c>
      <c r="AG435" s="3">
        <f t="shared" si="66"/>
        <v>0.19837750451234243</v>
      </c>
      <c r="AH435" t="str">
        <f t="shared" si="67"/>
        <v>April</v>
      </c>
      <c r="AI435">
        <f t="shared" si="68"/>
        <v>2024</v>
      </c>
    </row>
    <row r="436" spans="1:35">
      <c r="A436" t="s">
        <v>1418</v>
      </c>
      <c r="B436" s="2">
        <v>45758</v>
      </c>
      <c r="C436" s="2">
        <v>45762</v>
      </c>
      <c r="D436" t="s">
        <v>1419</v>
      </c>
      <c r="E436" t="s">
        <v>50</v>
      </c>
      <c r="F436" t="s">
        <v>109</v>
      </c>
      <c r="G436" t="s">
        <v>39</v>
      </c>
      <c r="H436" t="s">
        <v>150</v>
      </c>
      <c r="I436" t="s">
        <v>151</v>
      </c>
      <c r="J436" t="s">
        <v>88</v>
      </c>
      <c r="K436" t="s">
        <v>89</v>
      </c>
      <c r="L436" t="s">
        <v>1420</v>
      </c>
      <c r="M436" t="s">
        <v>45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46</v>
      </c>
      <c r="U436" t="s">
        <v>47</v>
      </c>
      <c r="V436" t="str">
        <f t="shared" si="59"/>
        <v>Valid</v>
      </c>
      <c r="W436">
        <f t="shared" si="60"/>
        <v>4</v>
      </c>
      <c r="Y436" t="str">
        <f t="shared" si="61"/>
        <v>OK</v>
      </c>
      <c r="Z436" t="str">
        <f t="shared" si="62"/>
        <v>OK</v>
      </c>
      <c r="AA436" t="str">
        <f t="shared" si="63"/>
        <v>OK</v>
      </c>
      <c r="AB436" t="str">
        <f t="shared" si="64"/>
        <v>Valid</v>
      </c>
      <c r="AC436" t="str">
        <f>IF(OR(AB436="Invalid Discount",V436="Invalid Shipping"),
"Invalid",
IF(OR(Y436="Missing Region",
Z436="Missing Ship Mode",
AA436="Missing Discount",
X436="Flagged for Review"),
"Warning",
"Clean"))</f>
        <v>Clean</v>
      </c>
      <c r="AD436">
        <f t="shared" si="65"/>
        <v>0</v>
      </c>
      <c r="AE436">
        <f>N436*O436*(1-AD436)</f>
        <v>3263.8999999999996</v>
      </c>
      <c r="AF436">
        <f>AE436-R436</f>
        <v>1195.4599999999996</v>
      </c>
      <c r="AG436" s="3">
        <f t="shared" si="66"/>
        <v>0.3662673488771101</v>
      </c>
      <c r="AH436" t="str">
        <f t="shared" si="67"/>
        <v>April</v>
      </c>
      <c r="AI436">
        <f t="shared" si="68"/>
        <v>2025</v>
      </c>
    </row>
    <row r="437" spans="1:35">
      <c r="A437" t="s">
        <v>1421</v>
      </c>
      <c r="B437" s="2">
        <v>45759</v>
      </c>
      <c r="C437" s="2">
        <v>45767</v>
      </c>
      <c r="D437" t="s">
        <v>1422</v>
      </c>
      <c r="E437" t="s">
        <v>279</v>
      </c>
      <c r="F437" t="s">
        <v>109</v>
      </c>
      <c r="G437" t="s">
        <v>39</v>
      </c>
      <c r="H437" t="s">
        <v>365</v>
      </c>
      <c r="I437" t="s">
        <v>366</v>
      </c>
      <c r="J437" t="s">
        <v>88</v>
      </c>
      <c r="K437" t="s">
        <v>289</v>
      </c>
      <c r="L437" t="s">
        <v>1423</v>
      </c>
      <c r="M437" t="s">
        <v>73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46</v>
      </c>
      <c r="U437" t="s">
        <v>82</v>
      </c>
      <c r="V437" t="str">
        <f t="shared" si="59"/>
        <v>Valid</v>
      </c>
      <c r="W437">
        <f t="shared" si="60"/>
        <v>8</v>
      </c>
      <c r="Y437" t="str">
        <f t="shared" si="61"/>
        <v>OK</v>
      </c>
      <c r="Z437" t="str">
        <f t="shared" si="62"/>
        <v>OK</v>
      </c>
      <c r="AA437" t="str">
        <f t="shared" si="63"/>
        <v>OK</v>
      </c>
      <c r="AB437" t="str">
        <f t="shared" si="64"/>
        <v>Valid</v>
      </c>
      <c r="AC437" t="str">
        <f>IF(OR(AB437="Invalid Discount",V437="Invalid Shipping"),
"Invalid",
IF(OR(Y437="Missing Region",
Z437="Missing Ship Mode",
AA437="Missing Discount",
X437="Flagged for Review"),
"Warning",
"Clean"))</f>
        <v>Clean</v>
      </c>
      <c r="AD437">
        <f t="shared" si="65"/>
        <v>0.15</v>
      </c>
      <c r="AE437">
        <f>N437*O437*(1-AD437)</f>
        <v>2327.0535</v>
      </c>
      <c r="AF437">
        <f>AE437-R437</f>
        <v>407.63349999999991</v>
      </c>
      <c r="AG437" s="3">
        <f t="shared" si="66"/>
        <v>0.17517152055163318</v>
      </c>
      <c r="AH437" t="str">
        <f t="shared" si="67"/>
        <v>April</v>
      </c>
      <c r="AI437">
        <f t="shared" si="68"/>
        <v>2025</v>
      </c>
    </row>
    <row r="438" spans="1:35">
      <c r="A438" t="s">
        <v>1424</v>
      </c>
      <c r="B438" s="2">
        <v>45459</v>
      </c>
      <c r="C438" s="2">
        <v>45464</v>
      </c>
      <c r="D438" t="s">
        <v>1425</v>
      </c>
      <c r="E438" t="s">
        <v>93</v>
      </c>
      <c r="F438" t="s">
        <v>38</v>
      </c>
      <c r="G438" t="s">
        <v>68</v>
      </c>
      <c r="H438" t="s">
        <v>199</v>
      </c>
      <c r="I438" t="s">
        <v>200</v>
      </c>
      <c r="J438" t="s">
        <v>55</v>
      </c>
      <c r="K438" t="s">
        <v>71</v>
      </c>
      <c r="L438" t="s">
        <v>1426</v>
      </c>
      <c r="M438" t="s">
        <v>58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46</v>
      </c>
      <c r="U438" t="s">
        <v>117</v>
      </c>
      <c r="V438" t="str">
        <f t="shared" si="59"/>
        <v>Valid</v>
      </c>
      <c r="W438">
        <f t="shared" si="60"/>
        <v>5</v>
      </c>
      <c r="Y438" t="str">
        <f t="shared" si="61"/>
        <v>OK</v>
      </c>
      <c r="Z438" t="str">
        <f t="shared" si="62"/>
        <v>OK</v>
      </c>
      <c r="AA438" t="str">
        <f t="shared" si="63"/>
        <v>OK</v>
      </c>
      <c r="AB438" t="str">
        <f t="shared" si="64"/>
        <v>Valid</v>
      </c>
      <c r="AC438" t="str">
        <f>IF(OR(AB438="Invalid Discount",V438="Invalid Shipping"),
"Invalid",
IF(OR(Y438="Missing Region",
Z438="Missing Ship Mode",
AA438="Missing Discount",
X438="Flagged for Review"),
"Warning",
"Clean"))</f>
        <v>Clean</v>
      </c>
      <c r="AD438">
        <f t="shared" si="65"/>
        <v>0.05</v>
      </c>
      <c r="AE438">
        <f>N438*O438*(1-AD438)</f>
        <v>6593.6459999999997</v>
      </c>
      <c r="AF438">
        <f>AE438-R438</f>
        <v>2234.2559999999994</v>
      </c>
      <c r="AG438" s="3">
        <f t="shared" si="66"/>
        <v>0.33884985636171544</v>
      </c>
      <c r="AH438" t="str">
        <f t="shared" si="67"/>
        <v>June</v>
      </c>
      <c r="AI438">
        <f t="shared" si="68"/>
        <v>2024</v>
      </c>
    </row>
    <row r="439" spans="1:35">
      <c r="A439" t="s">
        <v>1427</v>
      </c>
      <c r="B439" s="2">
        <v>45337</v>
      </c>
      <c r="C439" s="2">
        <v>45340</v>
      </c>
      <c r="D439" t="s">
        <v>1428</v>
      </c>
      <c r="E439" t="s">
        <v>103</v>
      </c>
      <c r="F439" t="s">
        <v>51</v>
      </c>
      <c r="G439" t="s">
        <v>68</v>
      </c>
      <c r="H439" t="s">
        <v>199</v>
      </c>
      <c r="I439" t="s">
        <v>200</v>
      </c>
      <c r="J439" t="s">
        <v>88</v>
      </c>
      <c r="K439" t="s">
        <v>89</v>
      </c>
      <c r="L439" t="s">
        <v>1429</v>
      </c>
      <c r="M439" t="s">
        <v>58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169</v>
      </c>
      <c r="U439" t="s">
        <v>117</v>
      </c>
      <c r="V439" t="str">
        <f t="shared" si="59"/>
        <v>Valid</v>
      </c>
      <c r="W439">
        <f t="shared" si="60"/>
        <v>3</v>
      </c>
      <c r="Y439" t="str">
        <f t="shared" si="61"/>
        <v>OK</v>
      </c>
      <c r="Z439" t="str">
        <f t="shared" si="62"/>
        <v>OK</v>
      </c>
      <c r="AA439" t="str">
        <f t="shared" si="63"/>
        <v>OK</v>
      </c>
      <c r="AB439" t="str">
        <f t="shared" si="64"/>
        <v>Valid</v>
      </c>
      <c r="AC439" t="str">
        <f>IF(OR(AB439="Invalid Discount",V439="Invalid Shipping"),
"Invalid",
IF(OR(Y439="Missing Region",
Z439="Missing Ship Mode",
AA439="Missing Discount",
X439="Flagged for Review"),
"Warning",
"Clean"))</f>
        <v>Clean</v>
      </c>
      <c r="AD439">
        <f t="shared" si="65"/>
        <v>0.05</v>
      </c>
      <c r="AE439">
        <f>N439*O439*(1-AD439)</f>
        <v>2886.6319999999996</v>
      </c>
      <c r="AF439">
        <f>AE439-R439</f>
        <v>1298.4019999999996</v>
      </c>
      <c r="AG439" s="3">
        <f t="shared" si="66"/>
        <v>0.44979824238073984</v>
      </c>
      <c r="AH439" t="str">
        <f t="shared" si="67"/>
        <v>February</v>
      </c>
      <c r="AI439">
        <f t="shared" si="68"/>
        <v>2024</v>
      </c>
    </row>
    <row r="440" spans="1:35">
      <c r="A440" t="s">
        <v>1430</v>
      </c>
      <c r="B440" s="2">
        <v>45784</v>
      </c>
      <c r="C440" s="2">
        <v>45782</v>
      </c>
      <c r="D440" t="s">
        <v>1431</v>
      </c>
      <c r="E440" t="s">
        <v>93</v>
      </c>
      <c r="F440" t="s">
        <v>104</v>
      </c>
      <c r="G440" t="s">
        <v>52</v>
      </c>
      <c r="H440" t="s">
        <v>243</v>
      </c>
      <c r="I440" t="s">
        <v>244</v>
      </c>
      <c r="J440" t="s">
        <v>88</v>
      </c>
      <c r="K440" t="s">
        <v>185</v>
      </c>
      <c r="L440" t="s">
        <v>1432</v>
      </c>
      <c r="M440" t="s">
        <v>73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46</v>
      </c>
      <c r="U440" t="s">
        <v>47</v>
      </c>
      <c r="V440" t="str">
        <f t="shared" si="59"/>
        <v>Invalid Shipping</v>
      </c>
      <c r="W440">
        <f t="shared" si="60"/>
        <v>-2</v>
      </c>
      <c r="Y440" t="str">
        <f t="shared" si="61"/>
        <v>OK</v>
      </c>
      <c r="Z440" t="str">
        <f t="shared" si="62"/>
        <v>OK</v>
      </c>
      <c r="AA440" t="str">
        <f t="shared" si="63"/>
        <v>OK</v>
      </c>
      <c r="AB440" t="str">
        <f t="shared" si="64"/>
        <v>Valid</v>
      </c>
      <c r="AC440" t="str">
        <f>IF(OR(AB440="Invalid Discount",V440="Invalid Shipping"),
"Invalid",
IF(OR(Y440="Missing Region",
Z440="Missing Ship Mode",
AA440="Missing Discount",
X440="Flagged for Review"),
"Warning",
"Clean"))</f>
        <v>Invalid</v>
      </c>
      <c r="AD440">
        <f t="shared" si="65"/>
        <v>0.2</v>
      </c>
      <c r="AE440">
        <f>N440*O440*(1-AD440)</f>
        <v>1813.1759999999999</v>
      </c>
      <c r="AF440">
        <f>AE440-R440</f>
        <v>449.53599999999983</v>
      </c>
      <c r="AG440" s="3">
        <f t="shared" si="66"/>
        <v>0.24792739370033567</v>
      </c>
      <c r="AH440" t="str">
        <f t="shared" si="67"/>
        <v>May</v>
      </c>
      <c r="AI440">
        <f t="shared" si="68"/>
        <v>2025</v>
      </c>
    </row>
    <row r="441" spans="1:35">
      <c r="A441" t="s">
        <v>1433</v>
      </c>
      <c r="B441" s="2">
        <v>45838</v>
      </c>
      <c r="C441" s="2">
        <v>45841</v>
      </c>
      <c r="D441" t="s">
        <v>1434</v>
      </c>
      <c r="E441" t="s">
        <v>142</v>
      </c>
      <c r="F441" t="s">
        <v>109</v>
      </c>
      <c r="G441" t="s">
        <v>77</v>
      </c>
      <c r="H441" t="s">
        <v>204</v>
      </c>
      <c r="I441" t="s">
        <v>205</v>
      </c>
      <c r="J441" t="s">
        <v>42</v>
      </c>
      <c r="K441" t="s">
        <v>138</v>
      </c>
      <c r="L441" t="s">
        <v>1435</v>
      </c>
      <c r="M441" t="s">
        <v>58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116</v>
      </c>
      <c r="U441" t="s">
        <v>117</v>
      </c>
      <c r="V441" t="str">
        <f t="shared" si="59"/>
        <v>Valid</v>
      </c>
      <c r="W441">
        <f t="shared" si="60"/>
        <v>3</v>
      </c>
      <c r="Y441" t="str">
        <f t="shared" si="61"/>
        <v>OK</v>
      </c>
      <c r="Z441" t="str">
        <f t="shared" si="62"/>
        <v>OK</v>
      </c>
      <c r="AA441" t="str">
        <f t="shared" si="63"/>
        <v>OK</v>
      </c>
      <c r="AB441" t="str">
        <f t="shared" si="64"/>
        <v>Valid</v>
      </c>
      <c r="AC441" t="str">
        <f>IF(OR(AB441="Invalid Discount",V441="Invalid Shipping"),
"Invalid",
IF(OR(Y441="Missing Region",
Z441="Missing Ship Mode",
AA441="Missing Discount",
X441="Flagged for Review"),
"Warning",
"Clean"))</f>
        <v>Clean</v>
      </c>
      <c r="AD441">
        <f t="shared" si="65"/>
        <v>0</v>
      </c>
      <c r="AE441">
        <f>N441*O441*(1-AD441)</f>
        <v>3326.25</v>
      </c>
      <c r="AF441">
        <f>AE441-R441</f>
        <v>636.88999999999987</v>
      </c>
      <c r="AG441" s="3">
        <f t="shared" si="66"/>
        <v>0.19147388199924836</v>
      </c>
      <c r="AH441" t="str">
        <f t="shared" si="67"/>
        <v>June</v>
      </c>
      <c r="AI441">
        <f t="shared" si="68"/>
        <v>2025</v>
      </c>
    </row>
    <row r="442" spans="1:35">
      <c r="A442" t="s">
        <v>1436</v>
      </c>
      <c r="B442" s="2">
        <v>45384</v>
      </c>
      <c r="C442" s="2">
        <v>45390</v>
      </c>
      <c r="D442" t="s">
        <v>285</v>
      </c>
      <c r="E442" t="s">
        <v>85</v>
      </c>
      <c r="F442" t="s">
        <v>104</v>
      </c>
      <c r="G442" t="s">
        <v>52</v>
      </c>
      <c r="H442" t="s">
        <v>53</v>
      </c>
      <c r="I442" t="s">
        <v>54</v>
      </c>
      <c r="J442" t="s">
        <v>88</v>
      </c>
      <c r="K442" t="s">
        <v>289</v>
      </c>
      <c r="L442" t="s">
        <v>1437</v>
      </c>
      <c r="M442" t="s">
        <v>45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46</v>
      </c>
      <c r="U442" t="s">
        <v>47</v>
      </c>
      <c r="V442" t="str">
        <f t="shared" si="59"/>
        <v>Valid</v>
      </c>
      <c r="W442">
        <f t="shared" si="60"/>
        <v>6</v>
      </c>
      <c r="Y442" t="str">
        <f t="shared" si="61"/>
        <v>OK</v>
      </c>
      <c r="Z442" t="str">
        <f t="shared" si="62"/>
        <v>OK</v>
      </c>
      <c r="AA442" t="str">
        <f t="shared" si="63"/>
        <v>OK</v>
      </c>
      <c r="AB442" t="str">
        <f t="shared" si="64"/>
        <v>Valid</v>
      </c>
      <c r="AC442" t="str">
        <f>IF(OR(AB442="Invalid Discount",V442="Invalid Shipping"),
"Invalid",
IF(OR(Y442="Missing Region",
Z442="Missing Ship Mode",
AA442="Missing Discount",
X442="Flagged for Review"),
"Warning",
"Clean"))</f>
        <v>Clean</v>
      </c>
      <c r="AD442">
        <f t="shared" si="65"/>
        <v>0.2</v>
      </c>
      <c r="AE442">
        <f>N442*O442*(1-AD442)</f>
        <v>17869.632000000001</v>
      </c>
      <c r="AF442">
        <f>AE442-R442</f>
        <v>5705.8320000000022</v>
      </c>
      <c r="AG442" s="3">
        <f t="shared" si="66"/>
        <v>0.31930327384469931</v>
      </c>
      <c r="AH442" t="str">
        <f t="shared" si="67"/>
        <v>April</v>
      </c>
      <c r="AI442">
        <f t="shared" si="68"/>
        <v>2024</v>
      </c>
    </row>
    <row r="443" spans="1:35">
      <c r="A443" t="s">
        <v>1438</v>
      </c>
      <c r="B443" s="2">
        <v>45568</v>
      </c>
      <c r="C443" s="2">
        <v>45568</v>
      </c>
      <c r="D443" t="s">
        <v>1439</v>
      </c>
      <c r="E443" t="s">
        <v>37</v>
      </c>
      <c r="F443" t="s">
        <v>38</v>
      </c>
      <c r="G443" t="s">
        <v>52</v>
      </c>
      <c r="H443" t="s">
        <v>159</v>
      </c>
      <c r="I443" t="s">
        <v>160</v>
      </c>
      <c r="J443" t="s">
        <v>55</v>
      </c>
      <c r="K443" t="s">
        <v>172</v>
      </c>
      <c r="L443" t="s">
        <v>1440</v>
      </c>
      <c r="M443" t="s">
        <v>73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46</v>
      </c>
      <c r="U443" t="s">
        <v>82</v>
      </c>
      <c r="V443" t="str">
        <f t="shared" si="59"/>
        <v>Valid</v>
      </c>
      <c r="W443">
        <f t="shared" si="60"/>
        <v>0</v>
      </c>
      <c r="Y443" t="str">
        <f t="shared" si="61"/>
        <v>OK</v>
      </c>
      <c r="Z443" t="str">
        <f t="shared" si="62"/>
        <v>OK</v>
      </c>
      <c r="AA443" t="str">
        <f t="shared" si="63"/>
        <v>OK</v>
      </c>
      <c r="AB443" t="str">
        <f t="shared" si="64"/>
        <v>Valid</v>
      </c>
      <c r="AC443" t="str">
        <f>IF(OR(AB443="Invalid Discount",V443="Invalid Shipping"),
"Invalid",
IF(OR(Y443="Missing Region",
Z443="Missing Ship Mode",
AA443="Missing Discount",
X443="Flagged for Review"),
"Warning",
"Clean"))</f>
        <v>Clean</v>
      </c>
      <c r="AD443">
        <f t="shared" si="65"/>
        <v>0</v>
      </c>
      <c r="AE443">
        <f>N443*O443*(1-AD443)</f>
        <v>25304.94</v>
      </c>
      <c r="AF443">
        <f>AE443-R443</f>
        <v>4532.989999999998</v>
      </c>
      <c r="AG443" s="3">
        <f t="shared" si="66"/>
        <v>0.17913458795002077</v>
      </c>
      <c r="AH443" t="str">
        <f t="shared" si="67"/>
        <v>October</v>
      </c>
      <c r="AI443">
        <f t="shared" si="68"/>
        <v>2024</v>
      </c>
    </row>
    <row r="444" spans="1:35">
      <c r="A444" t="s">
        <v>1441</v>
      </c>
      <c r="B444" s="2">
        <v>45669</v>
      </c>
      <c r="C444" s="2">
        <v>45676</v>
      </c>
      <c r="D444" t="s">
        <v>1442</v>
      </c>
      <c r="E444" t="s">
        <v>142</v>
      </c>
      <c r="F444" t="s">
        <v>38</v>
      </c>
      <c r="G444" t="s">
        <v>52</v>
      </c>
      <c r="H444" t="s">
        <v>243</v>
      </c>
      <c r="I444" t="s">
        <v>244</v>
      </c>
      <c r="J444" t="s">
        <v>55</v>
      </c>
      <c r="K444" t="s">
        <v>56</v>
      </c>
      <c r="L444" t="s">
        <v>1443</v>
      </c>
      <c r="M444" t="s">
        <v>64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46</v>
      </c>
      <c r="U444" t="s">
        <v>47</v>
      </c>
      <c r="V444" t="str">
        <f t="shared" si="59"/>
        <v>Valid</v>
      </c>
      <c r="W444">
        <f t="shared" si="60"/>
        <v>7</v>
      </c>
      <c r="Y444" t="str">
        <f t="shared" si="61"/>
        <v>OK</v>
      </c>
      <c r="Z444" t="str">
        <f t="shared" si="62"/>
        <v>OK</v>
      </c>
      <c r="AA444" t="str">
        <f t="shared" si="63"/>
        <v>OK</v>
      </c>
      <c r="AB444" t="str">
        <f t="shared" si="64"/>
        <v>Valid</v>
      </c>
      <c r="AC444" t="str">
        <f>IF(OR(AB444="Invalid Discount",V444="Invalid Shipping"),
"Invalid",
IF(OR(Y444="Missing Region",
Z444="Missing Ship Mode",
AA444="Missing Discount",
X444="Flagged for Review"),
"Warning",
"Clean"))</f>
        <v>Clean</v>
      </c>
      <c r="AD444">
        <f t="shared" si="65"/>
        <v>0</v>
      </c>
      <c r="AE444">
        <f>N444*O444*(1-AD444)</f>
        <v>1842.31</v>
      </c>
      <c r="AF444">
        <f>AE444-R444</f>
        <v>823.14</v>
      </c>
      <c r="AG444" s="3">
        <f t="shared" si="66"/>
        <v>0.44679777019068451</v>
      </c>
      <c r="AH444" t="str">
        <f t="shared" si="67"/>
        <v>January</v>
      </c>
      <c r="AI444">
        <f t="shared" si="68"/>
        <v>2025</v>
      </c>
    </row>
    <row r="445" spans="1:35">
      <c r="A445" t="s">
        <v>1444</v>
      </c>
      <c r="B445" s="2">
        <v>45386</v>
      </c>
      <c r="C445" s="2">
        <v>45389</v>
      </c>
      <c r="D445" t="s">
        <v>1445</v>
      </c>
      <c r="E445" t="s">
        <v>155</v>
      </c>
      <c r="F445" t="s">
        <v>109</v>
      </c>
      <c r="G445" t="s">
        <v>52</v>
      </c>
      <c r="H445" t="s">
        <v>53</v>
      </c>
      <c r="I445" t="s">
        <v>54</v>
      </c>
      <c r="J445" t="s">
        <v>55</v>
      </c>
      <c r="K445" t="s">
        <v>71</v>
      </c>
      <c r="L445" t="s">
        <v>1446</v>
      </c>
      <c r="M445" t="s">
        <v>64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46</v>
      </c>
      <c r="U445" t="s">
        <v>47</v>
      </c>
      <c r="V445" t="str">
        <f t="shared" si="59"/>
        <v>Valid</v>
      </c>
      <c r="W445">
        <f t="shared" si="60"/>
        <v>3</v>
      </c>
      <c r="Y445" t="str">
        <f t="shared" si="61"/>
        <v>OK</v>
      </c>
      <c r="Z445" t="str">
        <f t="shared" si="62"/>
        <v>OK</v>
      </c>
      <c r="AA445" t="str">
        <f t="shared" si="63"/>
        <v>OK</v>
      </c>
      <c r="AB445" t="str">
        <f t="shared" si="64"/>
        <v>Valid</v>
      </c>
      <c r="AC445" t="str">
        <f>IF(OR(AB445="Invalid Discount",V445="Invalid Shipping"),
"Invalid",
IF(OR(Y445="Missing Region",
Z445="Missing Ship Mode",
AA445="Missing Discount",
X445="Flagged for Review"),
"Warning",
"Clean"))</f>
        <v>Clean</v>
      </c>
      <c r="AD445">
        <f t="shared" si="65"/>
        <v>0.1</v>
      </c>
      <c r="AE445">
        <f>N445*O445*(1-AD445)</f>
        <v>3315.375</v>
      </c>
      <c r="AF445">
        <f>AE445-R445</f>
        <v>967.69500000000016</v>
      </c>
      <c r="AG445" s="3">
        <f t="shared" si="66"/>
        <v>0.29188100893564084</v>
      </c>
      <c r="AH445" t="str">
        <f t="shared" si="67"/>
        <v>April</v>
      </c>
      <c r="AI445">
        <f t="shared" si="68"/>
        <v>2024</v>
      </c>
    </row>
    <row r="446" spans="1:35">
      <c r="A446" t="s">
        <v>1447</v>
      </c>
      <c r="B446" s="2">
        <v>45881</v>
      </c>
      <c r="C446" s="2">
        <v>45885</v>
      </c>
      <c r="D446" t="s">
        <v>1448</v>
      </c>
      <c r="E446" t="s">
        <v>76</v>
      </c>
      <c r="F446" t="s">
        <v>38</v>
      </c>
      <c r="G446" t="s">
        <v>52</v>
      </c>
      <c r="H446" t="s">
        <v>180</v>
      </c>
      <c r="I446" t="s">
        <v>181</v>
      </c>
      <c r="J446" t="s">
        <v>88</v>
      </c>
      <c r="K446" t="s">
        <v>89</v>
      </c>
      <c r="L446" t="s">
        <v>1449</v>
      </c>
      <c r="M446" t="s">
        <v>58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46</v>
      </c>
      <c r="U446" t="s">
        <v>47</v>
      </c>
      <c r="V446" t="str">
        <f t="shared" si="59"/>
        <v>Valid</v>
      </c>
      <c r="W446">
        <f t="shared" si="60"/>
        <v>4</v>
      </c>
      <c r="Y446" t="str">
        <f t="shared" si="61"/>
        <v>OK</v>
      </c>
      <c r="Z446" t="str">
        <f t="shared" si="62"/>
        <v>OK</v>
      </c>
      <c r="AA446" t="str">
        <f t="shared" si="63"/>
        <v>OK</v>
      </c>
      <c r="AB446" t="str">
        <f t="shared" si="64"/>
        <v>Valid</v>
      </c>
      <c r="AC446" t="str">
        <f>IF(OR(AB446="Invalid Discount",V446="Invalid Shipping"),
"Invalid",
IF(OR(Y446="Missing Region",
Z446="Missing Ship Mode",
AA446="Missing Discount",
X446="Flagged for Review"),
"Warning",
"Clean"))</f>
        <v>Clean</v>
      </c>
      <c r="AD446">
        <f t="shared" si="65"/>
        <v>0.05</v>
      </c>
      <c r="AE446">
        <f>N446*O446*(1-AD446)</f>
        <v>20342.501999999997</v>
      </c>
      <c r="AF446">
        <f>AE446-R446</f>
        <v>7934.9919999999966</v>
      </c>
      <c r="AG446" s="3">
        <f t="shared" si="66"/>
        <v>0.39006961877157481</v>
      </c>
      <c r="AH446" t="str">
        <f t="shared" si="67"/>
        <v>August</v>
      </c>
      <c r="AI446">
        <f t="shared" si="68"/>
        <v>2025</v>
      </c>
    </row>
    <row r="447" spans="1:35">
      <c r="A447" t="s">
        <v>1450</v>
      </c>
      <c r="B447" s="2">
        <v>45421</v>
      </c>
      <c r="C447" s="2">
        <v>45417</v>
      </c>
      <c r="D447" t="s">
        <v>1451</v>
      </c>
      <c r="E447" t="s">
        <v>67</v>
      </c>
      <c r="F447" t="s">
        <v>38</v>
      </c>
      <c r="G447" t="s">
        <v>52</v>
      </c>
      <c r="H447" t="s">
        <v>180</v>
      </c>
      <c r="I447" t="s">
        <v>181</v>
      </c>
      <c r="J447" t="s">
        <v>55</v>
      </c>
      <c r="K447" t="s">
        <v>172</v>
      </c>
      <c r="L447" t="s">
        <v>1452</v>
      </c>
      <c r="M447" t="s">
        <v>58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46</v>
      </c>
      <c r="U447" t="s">
        <v>47</v>
      </c>
      <c r="V447" t="str">
        <f t="shared" si="59"/>
        <v>Invalid Shipping</v>
      </c>
      <c r="W447">
        <f t="shared" si="60"/>
        <v>-4</v>
      </c>
      <c r="Y447" t="str">
        <f t="shared" si="61"/>
        <v>OK</v>
      </c>
      <c r="Z447" t="str">
        <f t="shared" si="62"/>
        <v>OK</v>
      </c>
      <c r="AA447" t="str">
        <f t="shared" si="63"/>
        <v>OK</v>
      </c>
      <c r="AB447" t="str">
        <f t="shared" si="64"/>
        <v>Valid</v>
      </c>
      <c r="AC447" t="str">
        <f>IF(OR(AB447="Invalid Discount",V447="Invalid Shipping"),
"Invalid",
IF(OR(Y447="Missing Region",
Z447="Missing Ship Mode",
AA447="Missing Discount",
X447="Flagged for Review"),
"Warning",
"Clean"))</f>
        <v>Invalid</v>
      </c>
      <c r="AD447">
        <f t="shared" si="65"/>
        <v>0.2</v>
      </c>
      <c r="AE447">
        <f>N447*O447*(1-AD447)</f>
        <v>3377.9680000000003</v>
      </c>
      <c r="AF447">
        <f>AE447-R447</f>
        <v>881.67800000000034</v>
      </c>
      <c r="AG447" s="3">
        <f t="shared" si="66"/>
        <v>0.26100839321154029</v>
      </c>
      <c r="AH447" t="str">
        <f t="shared" si="67"/>
        <v>May</v>
      </c>
      <c r="AI447">
        <f t="shared" si="68"/>
        <v>2024</v>
      </c>
    </row>
    <row r="448" spans="1:35">
      <c r="A448" t="s">
        <v>1453</v>
      </c>
      <c r="B448" s="2">
        <v>45918</v>
      </c>
      <c r="C448" s="2">
        <v>45919</v>
      </c>
      <c r="D448" t="s">
        <v>1454</v>
      </c>
      <c r="E448" t="s">
        <v>146</v>
      </c>
      <c r="F448" t="s">
        <v>109</v>
      </c>
      <c r="G448" t="s">
        <v>68</v>
      </c>
      <c r="H448" t="s">
        <v>98</v>
      </c>
      <c r="I448" t="s">
        <v>99</v>
      </c>
      <c r="J448" t="s">
        <v>42</v>
      </c>
      <c r="K448" t="s">
        <v>138</v>
      </c>
      <c r="L448" t="s">
        <v>1455</v>
      </c>
      <c r="M448" t="s">
        <v>58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46</v>
      </c>
      <c r="U448" t="s">
        <v>47</v>
      </c>
      <c r="V448" t="str">
        <f t="shared" si="59"/>
        <v>Valid</v>
      </c>
      <c r="W448">
        <f t="shared" si="60"/>
        <v>1</v>
      </c>
      <c r="Y448" t="str">
        <f t="shared" si="61"/>
        <v>OK</v>
      </c>
      <c r="Z448" t="str">
        <f t="shared" si="62"/>
        <v>OK</v>
      </c>
      <c r="AA448" t="str">
        <f t="shared" si="63"/>
        <v>OK</v>
      </c>
      <c r="AB448" t="str">
        <f t="shared" si="64"/>
        <v>Valid</v>
      </c>
      <c r="AC448" t="str">
        <f>IF(OR(AB448="Invalid Discount",V448="Invalid Shipping"),
"Invalid",
IF(OR(Y448="Missing Region",
Z448="Missing Ship Mode",
AA448="Missing Discount",
X448="Flagged for Review"),
"Warning",
"Clean"))</f>
        <v>Clean</v>
      </c>
      <c r="AD448">
        <f t="shared" si="65"/>
        <v>0</v>
      </c>
      <c r="AE448">
        <f>N448*O448*(1-AD448)</f>
        <v>33940.080000000002</v>
      </c>
      <c r="AF448">
        <f>AE448-R448</f>
        <v>10185.890000000003</v>
      </c>
      <c r="AG448" s="3">
        <f t="shared" si="66"/>
        <v>0.30011390662603044</v>
      </c>
      <c r="AH448" t="str">
        <f t="shared" si="67"/>
        <v>September</v>
      </c>
      <c r="AI448">
        <f t="shared" si="68"/>
        <v>2025</v>
      </c>
    </row>
    <row r="449" spans="1:35">
      <c r="A449" t="s">
        <v>1456</v>
      </c>
      <c r="B449" s="2">
        <v>45879</v>
      </c>
      <c r="C449" s="2">
        <v>45879</v>
      </c>
      <c r="D449" t="s">
        <v>1457</v>
      </c>
      <c r="E449" t="s">
        <v>155</v>
      </c>
      <c r="F449" t="s">
        <v>109</v>
      </c>
      <c r="G449" t="s">
        <v>68</v>
      </c>
      <c r="H449" t="s">
        <v>69</v>
      </c>
      <c r="I449" t="s">
        <v>70</v>
      </c>
      <c r="J449" t="s">
        <v>55</v>
      </c>
      <c r="K449" t="s">
        <v>172</v>
      </c>
      <c r="L449" t="s">
        <v>1458</v>
      </c>
      <c r="M449" t="s">
        <v>73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125</v>
      </c>
      <c r="U449" t="s">
        <v>117</v>
      </c>
      <c r="V449" t="str">
        <f t="shared" si="59"/>
        <v>Valid</v>
      </c>
      <c r="W449">
        <f t="shared" si="60"/>
        <v>0</v>
      </c>
      <c r="Y449" t="str">
        <f t="shared" si="61"/>
        <v>OK</v>
      </c>
      <c r="Z449" t="str">
        <f t="shared" si="62"/>
        <v>OK</v>
      </c>
      <c r="AA449" t="str">
        <f t="shared" si="63"/>
        <v>OK</v>
      </c>
      <c r="AB449" t="str">
        <f t="shared" si="64"/>
        <v>Valid</v>
      </c>
      <c r="AC449" t="str">
        <f>IF(OR(AB449="Invalid Discount",V449="Invalid Shipping"),
"Invalid",
IF(OR(Y449="Missing Region",
Z449="Missing Ship Mode",
AA449="Missing Discount",
X449="Flagged for Review"),
"Warning",
"Clean"))</f>
        <v>Clean</v>
      </c>
      <c r="AD449">
        <f t="shared" si="65"/>
        <v>0.15</v>
      </c>
      <c r="AE449">
        <f>N449*O449*(1-AD449)</f>
        <v>21872.369999999995</v>
      </c>
      <c r="AF449">
        <f>AE449-R449</f>
        <v>8042.8699999999953</v>
      </c>
      <c r="AG449" s="3">
        <f t="shared" si="66"/>
        <v>0.36771826738483288</v>
      </c>
      <c r="AH449" t="str">
        <f t="shared" si="67"/>
        <v>August</v>
      </c>
      <c r="AI449">
        <f t="shared" si="68"/>
        <v>2025</v>
      </c>
    </row>
    <row r="450" spans="1:35">
      <c r="A450" t="s">
        <v>1459</v>
      </c>
      <c r="B450" s="2">
        <v>45306</v>
      </c>
      <c r="C450" s="2">
        <v>45309</v>
      </c>
      <c r="D450" t="s">
        <v>1460</v>
      </c>
      <c r="E450" t="s">
        <v>50</v>
      </c>
      <c r="F450" t="s">
        <v>51</v>
      </c>
      <c r="G450" t="s">
        <v>68</v>
      </c>
      <c r="H450" t="s">
        <v>98</v>
      </c>
      <c r="I450" t="s">
        <v>99</v>
      </c>
      <c r="J450" t="s">
        <v>55</v>
      </c>
      <c r="K450" t="s">
        <v>80</v>
      </c>
      <c r="L450" t="s">
        <v>1461</v>
      </c>
      <c r="M450" t="s">
        <v>64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46</v>
      </c>
      <c r="U450" t="s">
        <v>47</v>
      </c>
      <c r="V450" t="str">
        <f t="shared" si="59"/>
        <v>Valid</v>
      </c>
      <c r="W450">
        <f t="shared" si="60"/>
        <v>3</v>
      </c>
      <c r="Y450" t="str">
        <f t="shared" si="61"/>
        <v>OK</v>
      </c>
      <c r="Z450" t="str">
        <f t="shared" si="62"/>
        <v>OK</v>
      </c>
      <c r="AA450" t="str">
        <f t="shared" si="63"/>
        <v>OK</v>
      </c>
      <c r="AB450" t="str">
        <f t="shared" si="64"/>
        <v>Valid</v>
      </c>
      <c r="AC450" t="str">
        <f>IF(OR(AB450="Invalid Discount",V450="Invalid Shipping"),
"Invalid",
IF(OR(Y450="Missing Region",
Z450="Missing Ship Mode",
AA450="Missing Discount",
X450="Flagged for Review"),
"Warning",
"Clean"))</f>
        <v>Clean</v>
      </c>
      <c r="AD450">
        <f t="shared" si="65"/>
        <v>0.15</v>
      </c>
      <c r="AE450">
        <f>N450*O450*(1-AD450)</f>
        <v>342.05700000000002</v>
      </c>
      <c r="AF450">
        <f>AE450-R450</f>
        <v>97.487000000000023</v>
      </c>
      <c r="AG450" s="3">
        <f t="shared" si="66"/>
        <v>0.28500220723446684</v>
      </c>
      <c r="AH450" t="str">
        <f t="shared" si="67"/>
        <v>January</v>
      </c>
      <c r="AI450">
        <f t="shared" si="68"/>
        <v>2024</v>
      </c>
    </row>
    <row r="451" spans="1:35">
      <c r="A451" t="s">
        <v>1462</v>
      </c>
      <c r="B451" s="2">
        <v>45449</v>
      </c>
      <c r="C451" s="2">
        <v>45456</v>
      </c>
      <c r="D451" t="s">
        <v>1356</v>
      </c>
      <c r="E451" t="s">
        <v>103</v>
      </c>
      <c r="F451" t="s">
        <v>104</v>
      </c>
      <c r="G451" t="s">
        <v>52</v>
      </c>
      <c r="H451" t="s">
        <v>180</v>
      </c>
      <c r="I451" t="s">
        <v>181</v>
      </c>
      <c r="J451" t="s">
        <v>88</v>
      </c>
      <c r="K451" t="s">
        <v>289</v>
      </c>
      <c r="L451" t="s">
        <v>1463</v>
      </c>
      <c r="M451" t="s">
        <v>45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46</v>
      </c>
      <c r="U451" t="s">
        <v>47</v>
      </c>
      <c r="V451" t="str">
        <f t="shared" ref="V451:V514" si="69">IF(C451&lt;B451,"Invalid Shipping","Valid")</f>
        <v>Valid</v>
      </c>
      <c r="W451">
        <f t="shared" ref="W451:W514" si="70">C451-B451</f>
        <v>7</v>
      </c>
      <c r="Y451" t="str">
        <f t="shared" ref="Y451:Y514" si="71">IF(G451="Unknown","Missing Region","OK")</f>
        <v>OK</v>
      </c>
      <c r="Z451" t="str">
        <f t="shared" ref="Z451:Z514" si="72">IF(M451="Unknown","Missing Ship Mode","OK")</f>
        <v>OK</v>
      </c>
      <c r="AA451" t="str">
        <f t="shared" ref="AA451:AA514" si="73">IF(P451="","Missing Discount","OK")</f>
        <v>OK</v>
      </c>
      <c r="AB451" t="str">
        <f t="shared" ref="AB451:AB514" si="74">IF(OR(P451&lt;0,P451&gt;1),"Invalid Discount","Valid")</f>
        <v>Valid</v>
      </c>
      <c r="AC451" t="str">
        <f>IF(OR(AB451="Invalid Discount",V451="Invalid Shipping"),
"Invalid",
IF(OR(Y451="Missing Region",
Z451="Missing Ship Mode",
AA451="Missing Discount",
X451="Flagged for Review"),
"Warning",
"Clean"))</f>
        <v>Clean</v>
      </c>
      <c r="AD451">
        <f t="shared" ref="AD451:AD514" si="75">IF(P451="",0,P451)</f>
        <v>0</v>
      </c>
      <c r="AE451">
        <f>N451*O451*(1-AD451)</f>
        <v>19622.16</v>
      </c>
      <c r="AF451">
        <f>AE451-R451</f>
        <v>5350.8899999999994</v>
      </c>
      <c r="AG451" s="3">
        <f t="shared" ref="AG451:AG514" si="76">IF(AE451=0,0,AF451/AE451)</f>
        <v>0.27269627808559299</v>
      </c>
      <c r="AH451" t="str">
        <f t="shared" ref="AH451:AH514" si="77">TEXT(B451,"mmmm")</f>
        <v>June</v>
      </c>
      <c r="AI451">
        <f t="shared" ref="AI451:AI514" si="78">YEAR(B451)</f>
        <v>2024</v>
      </c>
    </row>
    <row r="452" spans="1:35">
      <c r="A452" t="s">
        <v>1464</v>
      </c>
      <c r="B452" s="2">
        <v>45820</v>
      </c>
      <c r="C452" s="2">
        <v>45827</v>
      </c>
      <c r="D452" t="s">
        <v>1465</v>
      </c>
      <c r="E452" t="s">
        <v>76</v>
      </c>
      <c r="F452" t="s">
        <v>104</v>
      </c>
      <c r="G452" t="s">
        <v>39</v>
      </c>
      <c r="H452" t="s">
        <v>365</v>
      </c>
      <c r="I452" t="s">
        <v>366</v>
      </c>
      <c r="J452" t="s">
        <v>55</v>
      </c>
      <c r="K452" t="s">
        <v>80</v>
      </c>
      <c r="L452" t="s">
        <v>1466</v>
      </c>
      <c r="M452" t="s">
        <v>73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46</v>
      </c>
      <c r="U452" t="s">
        <v>47</v>
      </c>
      <c r="V452" t="str">
        <f t="shared" si="69"/>
        <v>Valid</v>
      </c>
      <c r="W452">
        <f t="shared" si="70"/>
        <v>7</v>
      </c>
      <c r="Y452" t="str">
        <f t="shared" si="71"/>
        <v>OK</v>
      </c>
      <c r="Z452" t="str">
        <f t="shared" si="72"/>
        <v>OK</v>
      </c>
      <c r="AA452" t="str">
        <f t="shared" si="73"/>
        <v>OK</v>
      </c>
      <c r="AB452" t="str">
        <f t="shared" si="74"/>
        <v>Valid</v>
      </c>
      <c r="AC452" t="str">
        <f>IF(OR(AB452="Invalid Discount",V452="Invalid Shipping"),
"Invalid",
IF(OR(Y452="Missing Region",
Z452="Missing Ship Mode",
AA452="Missing Discount",
X452="Flagged for Review"),
"Warning",
"Clean"))</f>
        <v>Clean</v>
      </c>
      <c r="AD452">
        <f t="shared" si="75"/>
        <v>0.25</v>
      </c>
      <c r="AE452">
        <f>N452*O452*(1-AD452)</f>
        <v>15380.3475</v>
      </c>
      <c r="AF452">
        <f>AE452-R452</f>
        <v>5472.9774999999991</v>
      </c>
      <c r="AG452" s="3">
        <f t="shared" si="76"/>
        <v>0.35584225258889624</v>
      </c>
      <c r="AH452" t="str">
        <f t="shared" si="77"/>
        <v>June</v>
      </c>
      <c r="AI452">
        <f t="shared" si="78"/>
        <v>2025</v>
      </c>
    </row>
    <row r="453" spans="1:35">
      <c r="A453" t="s">
        <v>1467</v>
      </c>
      <c r="B453" s="2">
        <v>45375</v>
      </c>
      <c r="C453" s="2">
        <v>45377</v>
      </c>
      <c r="D453" t="s">
        <v>1468</v>
      </c>
      <c r="E453" t="s">
        <v>155</v>
      </c>
      <c r="F453" t="s">
        <v>51</v>
      </c>
      <c r="G453" t="s">
        <v>39</v>
      </c>
      <c r="H453" t="s">
        <v>251</v>
      </c>
      <c r="I453" t="s">
        <v>252</v>
      </c>
      <c r="J453" t="s">
        <v>42</v>
      </c>
      <c r="K453" t="s">
        <v>43</v>
      </c>
      <c r="L453" t="s">
        <v>1469</v>
      </c>
      <c r="M453" t="s">
        <v>45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46</v>
      </c>
      <c r="U453" t="s">
        <v>82</v>
      </c>
      <c r="V453" t="str">
        <f t="shared" si="69"/>
        <v>Valid</v>
      </c>
      <c r="W453">
        <f t="shared" si="70"/>
        <v>2</v>
      </c>
      <c r="Y453" t="str">
        <f t="shared" si="71"/>
        <v>OK</v>
      </c>
      <c r="Z453" t="str">
        <f t="shared" si="72"/>
        <v>OK</v>
      </c>
      <c r="AA453" t="str">
        <f t="shared" si="73"/>
        <v>OK</v>
      </c>
      <c r="AB453" t="str">
        <f t="shared" si="74"/>
        <v>Valid</v>
      </c>
      <c r="AC453" t="str">
        <f>IF(OR(AB453="Invalid Discount",V453="Invalid Shipping"),
"Invalid",
IF(OR(Y453="Missing Region",
Z453="Missing Ship Mode",
AA453="Missing Discount",
X453="Flagged for Review"),
"Warning",
"Clean"))</f>
        <v>Clean</v>
      </c>
      <c r="AD453">
        <f t="shared" si="75"/>
        <v>0.15</v>
      </c>
      <c r="AE453">
        <f>N453*O453*(1-AD453)</f>
        <v>13039.952000000001</v>
      </c>
      <c r="AF453">
        <f>AE453-R453</f>
        <v>1912.1320000000014</v>
      </c>
      <c r="AG453" s="3">
        <f t="shared" si="76"/>
        <v>0.1466364293365498</v>
      </c>
      <c r="AH453" t="str">
        <f t="shared" si="77"/>
        <v>March</v>
      </c>
      <c r="AI453">
        <f t="shared" si="78"/>
        <v>2024</v>
      </c>
    </row>
    <row r="454" spans="1:35">
      <c r="A454" t="s">
        <v>1470</v>
      </c>
      <c r="B454" s="2">
        <v>45422</v>
      </c>
      <c r="C454" s="2">
        <v>45428</v>
      </c>
      <c r="D454" t="s">
        <v>1471</v>
      </c>
      <c r="E454" t="s">
        <v>176</v>
      </c>
      <c r="F454" t="s">
        <v>109</v>
      </c>
      <c r="G454" t="s">
        <v>52</v>
      </c>
      <c r="H454" t="s">
        <v>243</v>
      </c>
      <c r="I454" t="s">
        <v>244</v>
      </c>
      <c r="J454" t="s">
        <v>88</v>
      </c>
      <c r="K454" t="s">
        <v>89</v>
      </c>
      <c r="L454" t="s">
        <v>1472</v>
      </c>
      <c r="M454" t="s">
        <v>45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46</v>
      </c>
      <c r="U454" t="s">
        <v>47</v>
      </c>
      <c r="V454" t="str">
        <f t="shared" si="69"/>
        <v>Valid</v>
      </c>
      <c r="W454">
        <f t="shared" si="70"/>
        <v>6</v>
      </c>
      <c r="Y454" t="str">
        <f t="shared" si="71"/>
        <v>OK</v>
      </c>
      <c r="Z454" t="str">
        <f t="shared" si="72"/>
        <v>OK</v>
      </c>
      <c r="AA454" t="str">
        <f t="shared" si="73"/>
        <v>OK</v>
      </c>
      <c r="AB454" t="str">
        <f t="shared" si="74"/>
        <v>Valid</v>
      </c>
      <c r="AC454" t="str">
        <f>IF(OR(AB454="Invalid Discount",V454="Invalid Shipping"),
"Invalid",
IF(OR(Y454="Missing Region",
Z454="Missing Ship Mode",
AA454="Missing Discount",
X454="Flagged for Review"),
"Warning",
"Clean"))</f>
        <v>Clean</v>
      </c>
      <c r="AD454">
        <f t="shared" si="75"/>
        <v>0.2</v>
      </c>
      <c r="AE454">
        <f>N454*O454*(1-AD454)</f>
        <v>9663.9840000000004</v>
      </c>
      <c r="AF454">
        <f>AE454-R454</f>
        <v>4035.0540000000001</v>
      </c>
      <c r="AG454" s="3">
        <f t="shared" si="76"/>
        <v>0.41753525254180884</v>
      </c>
      <c r="AH454" t="str">
        <f t="shared" si="77"/>
        <v>May</v>
      </c>
      <c r="AI454">
        <f t="shared" si="78"/>
        <v>2024</v>
      </c>
    </row>
    <row r="455" spans="1:35">
      <c r="A455" t="s">
        <v>1473</v>
      </c>
      <c r="B455" s="2">
        <v>45780</v>
      </c>
      <c r="C455" s="2">
        <v>45788</v>
      </c>
      <c r="D455" t="s">
        <v>1474</v>
      </c>
      <c r="E455" t="s">
        <v>155</v>
      </c>
      <c r="F455" t="s">
        <v>51</v>
      </c>
      <c r="G455" t="s">
        <v>77</v>
      </c>
      <c r="H455" t="s">
        <v>86</v>
      </c>
      <c r="I455" t="s">
        <v>87</v>
      </c>
      <c r="J455" t="s">
        <v>42</v>
      </c>
      <c r="K455" t="s">
        <v>105</v>
      </c>
      <c r="L455" t="s">
        <v>1475</v>
      </c>
      <c r="M455" t="s">
        <v>58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46</v>
      </c>
      <c r="U455" t="s">
        <v>47</v>
      </c>
      <c r="V455" t="str">
        <f t="shared" si="69"/>
        <v>Valid</v>
      </c>
      <c r="W455">
        <f t="shared" si="70"/>
        <v>8</v>
      </c>
      <c r="Y455" t="str">
        <f t="shared" si="71"/>
        <v>OK</v>
      </c>
      <c r="Z455" t="str">
        <f t="shared" si="72"/>
        <v>OK</v>
      </c>
      <c r="AA455" t="str">
        <f t="shared" si="73"/>
        <v>OK</v>
      </c>
      <c r="AB455" t="str">
        <f t="shared" si="74"/>
        <v>Valid</v>
      </c>
      <c r="AC455" t="str">
        <f>IF(OR(AB455="Invalid Discount",V455="Invalid Shipping"),
"Invalid",
IF(OR(Y455="Missing Region",
Z455="Missing Ship Mode",
AA455="Missing Discount",
X455="Flagged for Review"),
"Warning",
"Clean"))</f>
        <v>Clean</v>
      </c>
      <c r="AD455">
        <f t="shared" si="75"/>
        <v>0</v>
      </c>
      <c r="AE455">
        <f>N455*O455*(1-AD455)</f>
        <v>7417.6</v>
      </c>
      <c r="AF455">
        <f>AE455-R455</f>
        <v>2461.7400000000007</v>
      </c>
      <c r="AG455" s="3">
        <f t="shared" si="76"/>
        <v>0.3318782355478862</v>
      </c>
      <c r="AH455" t="str">
        <f t="shared" si="77"/>
        <v>May</v>
      </c>
      <c r="AI455">
        <f t="shared" si="78"/>
        <v>2025</v>
      </c>
    </row>
    <row r="456" spans="1:35">
      <c r="A456" t="s">
        <v>1476</v>
      </c>
      <c r="B456" s="2">
        <v>45739</v>
      </c>
      <c r="C456" s="2">
        <v>45744</v>
      </c>
      <c r="D456" t="s">
        <v>1477</v>
      </c>
      <c r="E456" t="s">
        <v>85</v>
      </c>
      <c r="F456" t="s">
        <v>51</v>
      </c>
      <c r="G456" t="s">
        <v>39</v>
      </c>
      <c r="H456" t="s">
        <v>40</v>
      </c>
      <c r="I456" t="s">
        <v>41</v>
      </c>
      <c r="J456" t="s">
        <v>55</v>
      </c>
      <c r="K456" t="s">
        <v>71</v>
      </c>
      <c r="L456" t="s">
        <v>1478</v>
      </c>
      <c r="M456" t="s">
        <v>73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46</v>
      </c>
      <c r="U456" t="s">
        <v>47</v>
      </c>
      <c r="V456" t="str">
        <f t="shared" si="69"/>
        <v>Valid</v>
      </c>
      <c r="W456">
        <f t="shared" si="70"/>
        <v>5</v>
      </c>
      <c r="Y456" t="str">
        <f t="shared" si="71"/>
        <v>OK</v>
      </c>
      <c r="Z456" t="str">
        <f t="shared" si="72"/>
        <v>OK</v>
      </c>
      <c r="AA456" t="str">
        <f t="shared" si="73"/>
        <v>OK</v>
      </c>
      <c r="AB456" t="str">
        <f t="shared" si="74"/>
        <v>Valid</v>
      </c>
      <c r="AC456" t="str">
        <f>IF(OR(AB456="Invalid Discount",V456="Invalid Shipping"),
"Invalid",
IF(OR(Y456="Missing Region",
Z456="Missing Ship Mode",
AA456="Missing Discount",
X456="Flagged for Review"),
"Warning",
"Clean"))</f>
        <v>Clean</v>
      </c>
      <c r="AD456">
        <f t="shared" si="75"/>
        <v>0.15</v>
      </c>
      <c r="AE456">
        <f>N456*O456*(1-AD456)</f>
        <v>25229.7</v>
      </c>
      <c r="AF456">
        <f>AE456-R456</f>
        <v>5059.2700000000004</v>
      </c>
      <c r="AG456" s="3">
        <f t="shared" si="76"/>
        <v>0.20052834556098567</v>
      </c>
      <c r="AH456" t="str">
        <f t="shared" si="77"/>
        <v>March</v>
      </c>
      <c r="AI456">
        <f t="shared" si="78"/>
        <v>2025</v>
      </c>
    </row>
    <row r="457" spans="1:35">
      <c r="A457" t="s">
        <v>1479</v>
      </c>
      <c r="B457" s="2">
        <v>45491</v>
      </c>
      <c r="C457" s="2">
        <v>45495</v>
      </c>
      <c r="D457" t="s">
        <v>1480</v>
      </c>
      <c r="E457" t="s">
        <v>93</v>
      </c>
      <c r="F457" t="s">
        <v>51</v>
      </c>
      <c r="G457" t="s">
        <v>68</v>
      </c>
      <c r="H457" t="s">
        <v>69</v>
      </c>
      <c r="I457" t="s">
        <v>70</v>
      </c>
      <c r="J457" t="s">
        <v>42</v>
      </c>
      <c r="K457" t="s">
        <v>62</v>
      </c>
      <c r="L457" t="s">
        <v>1481</v>
      </c>
      <c r="M457" t="s">
        <v>73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46</v>
      </c>
      <c r="U457" t="s">
        <v>47</v>
      </c>
      <c r="V457" t="str">
        <f t="shared" si="69"/>
        <v>Valid</v>
      </c>
      <c r="W457">
        <f t="shared" si="70"/>
        <v>4</v>
      </c>
      <c r="Y457" t="str">
        <f t="shared" si="71"/>
        <v>OK</v>
      </c>
      <c r="Z457" t="str">
        <f t="shared" si="72"/>
        <v>OK</v>
      </c>
      <c r="AA457" t="str">
        <f t="shared" si="73"/>
        <v>OK</v>
      </c>
      <c r="AB457" t="str">
        <f t="shared" si="74"/>
        <v>Valid</v>
      </c>
      <c r="AC457" t="str">
        <f>IF(OR(AB457="Invalid Discount",V457="Invalid Shipping"),
"Invalid",
IF(OR(Y457="Missing Region",
Z457="Missing Ship Mode",
AA457="Missing Discount",
X457="Flagged for Review"),
"Warning",
"Clean"))</f>
        <v>Clean</v>
      </c>
      <c r="AD457">
        <f t="shared" si="75"/>
        <v>0</v>
      </c>
      <c r="AE457">
        <f>N457*O457*(1-AD457)</f>
        <v>3235.08</v>
      </c>
      <c r="AF457">
        <f>AE457-R457</f>
        <v>1386.48</v>
      </c>
      <c r="AG457" s="3">
        <f t="shared" si="76"/>
        <v>0.42857672762342819</v>
      </c>
      <c r="AH457" t="str">
        <f t="shared" si="77"/>
        <v>July</v>
      </c>
      <c r="AI457">
        <f t="shared" si="78"/>
        <v>2024</v>
      </c>
    </row>
    <row r="458" spans="1:35">
      <c r="A458" t="s">
        <v>1482</v>
      </c>
      <c r="B458" s="2">
        <v>45342</v>
      </c>
      <c r="C458" s="2">
        <v>45342</v>
      </c>
      <c r="D458" t="s">
        <v>1483</v>
      </c>
      <c r="E458" t="s">
        <v>93</v>
      </c>
      <c r="F458" t="s">
        <v>104</v>
      </c>
      <c r="G458" t="s">
        <v>39</v>
      </c>
      <c r="H458" t="s">
        <v>150</v>
      </c>
      <c r="I458" t="s">
        <v>151</v>
      </c>
      <c r="J458" t="s">
        <v>88</v>
      </c>
      <c r="K458" t="s">
        <v>89</v>
      </c>
      <c r="L458" t="s">
        <v>1484</v>
      </c>
      <c r="M458" t="s">
        <v>58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46</v>
      </c>
      <c r="U458" t="s">
        <v>117</v>
      </c>
      <c r="V458" t="str">
        <f t="shared" si="69"/>
        <v>Valid</v>
      </c>
      <c r="W458">
        <f t="shared" si="70"/>
        <v>0</v>
      </c>
      <c r="Y458" t="str">
        <f t="shared" si="71"/>
        <v>OK</v>
      </c>
      <c r="Z458" t="str">
        <f t="shared" si="72"/>
        <v>OK</v>
      </c>
      <c r="AA458" t="str">
        <f t="shared" si="73"/>
        <v>OK</v>
      </c>
      <c r="AB458" t="str">
        <f t="shared" si="74"/>
        <v>Valid</v>
      </c>
      <c r="AC458" t="str">
        <f>IF(OR(AB458="Invalid Discount",V458="Invalid Shipping"),
"Invalid",
IF(OR(Y458="Missing Region",
Z458="Missing Ship Mode",
AA458="Missing Discount",
X458="Flagged for Review"),
"Warning",
"Clean"))</f>
        <v>Clean</v>
      </c>
      <c r="AD458">
        <f t="shared" si="75"/>
        <v>0.15</v>
      </c>
      <c r="AE458">
        <f>N458*O458*(1-AD458)</f>
        <v>11070.867499999998</v>
      </c>
      <c r="AF458">
        <f>AE458-R458</f>
        <v>4447.2574999999988</v>
      </c>
      <c r="AG458" s="3">
        <f t="shared" si="76"/>
        <v>0.40170813172499803</v>
      </c>
      <c r="AH458" t="str">
        <f t="shared" si="77"/>
        <v>February</v>
      </c>
      <c r="AI458">
        <f t="shared" si="78"/>
        <v>2024</v>
      </c>
    </row>
    <row r="459" spans="1:35">
      <c r="A459" t="s">
        <v>1485</v>
      </c>
      <c r="B459" s="2">
        <v>45416</v>
      </c>
      <c r="C459" s="2">
        <v>45416</v>
      </c>
      <c r="D459" t="s">
        <v>1486</v>
      </c>
      <c r="E459" t="s">
        <v>50</v>
      </c>
      <c r="F459" t="s">
        <v>51</v>
      </c>
      <c r="G459" t="s">
        <v>77</v>
      </c>
      <c r="H459" t="s">
        <v>204</v>
      </c>
      <c r="I459" t="s">
        <v>205</v>
      </c>
      <c r="J459" t="s">
        <v>55</v>
      </c>
      <c r="K459" t="s">
        <v>56</v>
      </c>
      <c r="L459" t="s">
        <v>1487</v>
      </c>
      <c r="M459" t="s">
        <v>73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46</v>
      </c>
      <c r="U459" t="s">
        <v>47</v>
      </c>
      <c r="V459" t="str">
        <f t="shared" si="69"/>
        <v>Valid</v>
      </c>
      <c r="W459">
        <f t="shared" si="70"/>
        <v>0</v>
      </c>
      <c r="Y459" t="str">
        <f t="shared" si="71"/>
        <v>OK</v>
      </c>
      <c r="Z459" t="str">
        <f t="shared" si="72"/>
        <v>OK</v>
      </c>
      <c r="AA459" t="str">
        <f t="shared" si="73"/>
        <v>OK</v>
      </c>
      <c r="AB459" t="str">
        <f t="shared" si="74"/>
        <v>Valid</v>
      </c>
      <c r="AC459" t="str">
        <f>IF(OR(AB459="Invalid Discount",V459="Invalid Shipping"),
"Invalid",
IF(OR(Y459="Missing Region",
Z459="Missing Ship Mode",
AA459="Missing Discount",
X459="Flagged for Review"),
"Warning",
"Clean"))</f>
        <v>Clean</v>
      </c>
      <c r="AD459">
        <f t="shared" si="75"/>
        <v>0</v>
      </c>
      <c r="AE459">
        <f>N459*O459*(1-AD459)</f>
        <v>19960.57</v>
      </c>
      <c r="AF459">
        <f>AE459-R459</f>
        <v>3356.9700000000012</v>
      </c>
      <c r="AG459" s="3">
        <f t="shared" si="76"/>
        <v>0.1681800670020947</v>
      </c>
      <c r="AH459" t="str">
        <f t="shared" si="77"/>
        <v>May</v>
      </c>
      <c r="AI459">
        <f t="shared" si="78"/>
        <v>2024</v>
      </c>
    </row>
    <row r="460" spans="1:35">
      <c r="A460" t="s">
        <v>1488</v>
      </c>
      <c r="B460" s="2">
        <v>45332</v>
      </c>
      <c r="C460" s="2">
        <v>45333</v>
      </c>
      <c r="D460" t="s">
        <v>1489</v>
      </c>
      <c r="E460" t="s">
        <v>37</v>
      </c>
      <c r="F460" t="s">
        <v>104</v>
      </c>
      <c r="G460" t="s">
        <v>39</v>
      </c>
      <c r="H460" t="s">
        <v>40</v>
      </c>
      <c r="I460" t="s">
        <v>41</v>
      </c>
      <c r="J460" t="s">
        <v>88</v>
      </c>
      <c r="K460" t="s">
        <v>185</v>
      </c>
      <c r="L460" t="s">
        <v>1490</v>
      </c>
      <c r="M460" t="s">
        <v>45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46</v>
      </c>
      <c r="U460" t="s">
        <v>47</v>
      </c>
      <c r="V460" t="str">
        <f t="shared" si="69"/>
        <v>Valid</v>
      </c>
      <c r="W460">
        <f t="shared" si="70"/>
        <v>1</v>
      </c>
      <c r="Y460" t="str">
        <f t="shared" si="71"/>
        <v>OK</v>
      </c>
      <c r="Z460" t="str">
        <f t="shared" si="72"/>
        <v>OK</v>
      </c>
      <c r="AA460" t="str">
        <f t="shared" si="73"/>
        <v>OK</v>
      </c>
      <c r="AB460" t="str">
        <f t="shared" si="74"/>
        <v>Valid</v>
      </c>
      <c r="AC460" t="str">
        <f>IF(OR(AB460="Invalid Discount",V460="Invalid Shipping"),
"Invalid",
IF(OR(Y460="Missing Region",
Z460="Missing Ship Mode",
AA460="Missing Discount",
X460="Flagged for Review"),
"Warning",
"Clean"))</f>
        <v>Clean</v>
      </c>
      <c r="AD460">
        <f t="shared" si="75"/>
        <v>0.1</v>
      </c>
      <c r="AE460">
        <f>N460*O460*(1-AD460)</f>
        <v>8596.0439999999999</v>
      </c>
      <c r="AF460">
        <f>AE460-R460</f>
        <v>3217.884</v>
      </c>
      <c r="AG460" s="3">
        <f t="shared" si="76"/>
        <v>0.37434475672762962</v>
      </c>
      <c r="AH460" t="str">
        <f t="shared" si="77"/>
        <v>February</v>
      </c>
      <c r="AI460">
        <f t="shared" si="78"/>
        <v>2024</v>
      </c>
    </row>
    <row r="461" spans="1:35">
      <c r="A461" t="s">
        <v>1491</v>
      </c>
      <c r="B461" s="2">
        <v>45379</v>
      </c>
      <c r="C461" s="2">
        <v>45386</v>
      </c>
      <c r="D461" t="s">
        <v>1492</v>
      </c>
      <c r="E461" t="s">
        <v>76</v>
      </c>
      <c r="F461" t="s">
        <v>109</v>
      </c>
      <c r="G461" t="s">
        <v>77</v>
      </c>
      <c r="H461" t="s">
        <v>204</v>
      </c>
      <c r="I461" t="s">
        <v>205</v>
      </c>
      <c r="J461" t="s">
        <v>42</v>
      </c>
      <c r="K461" t="s">
        <v>43</v>
      </c>
      <c r="L461" t="s">
        <v>1493</v>
      </c>
      <c r="M461" t="s">
        <v>64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46</v>
      </c>
      <c r="U461" t="s">
        <v>47</v>
      </c>
      <c r="V461" t="str">
        <f t="shared" si="69"/>
        <v>Valid</v>
      </c>
      <c r="W461">
        <f t="shared" si="70"/>
        <v>7</v>
      </c>
      <c r="Y461" t="str">
        <f t="shared" si="71"/>
        <v>OK</v>
      </c>
      <c r="Z461" t="str">
        <f t="shared" si="72"/>
        <v>OK</v>
      </c>
      <c r="AA461" t="str">
        <f t="shared" si="73"/>
        <v>OK</v>
      </c>
      <c r="AB461" t="str">
        <f t="shared" si="74"/>
        <v>Valid</v>
      </c>
      <c r="AC461" t="str">
        <f>IF(OR(AB461="Invalid Discount",V461="Invalid Shipping"),
"Invalid",
IF(OR(Y461="Missing Region",
Z461="Missing Ship Mode",
AA461="Missing Discount",
X461="Flagged for Review"),
"Warning",
"Clean"))</f>
        <v>Clean</v>
      </c>
      <c r="AD461">
        <f t="shared" si="75"/>
        <v>0</v>
      </c>
      <c r="AE461">
        <f>N461*O461*(1-AD461)</f>
        <v>3452.76</v>
      </c>
      <c r="AF461">
        <f>AE461-R461</f>
        <v>1374.8000000000002</v>
      </c>
      <c r="AG461" s="3">
        <f t="shared" si="76"/>
        <v>0.39817421425178701</v>
      </c>
      <c r="AH461" t="str">
        <f t="shared" si="77"/>
        <v>March</v>
      </c>
      <c r="AI461">
        <f t="shared" si="78"/>
        <v>2024</v>
      </c>
    </row>
    <row r="462" spans="1:35">
      <c r="A462" t="s">
        <v>1494</v>
      </c>
      <c r="B462" s="2">
        <v>45930</v>
      </c>
      <c r="C462" s="2">
        <v>45936</v>
      </c>
      <c r="D462" t="s">
        <v>1495</v>
      </c>
      <c r="E462" t="s">
        <v>142</v>
      </c>
      <c r="F462" t="s">
        <v>104</v>
      </c>
      <c r="G462" t="s">
        <v>219</v>
      </c>
      <c r="H462" t="s">
        <v>40</v>
      </c>
      <c r="I462" t="s">
        <v>41</v>
      </c>
      <c r="J462" t="s">
        <v>88</v>
      </c>
      <c r="K462" t="s">
        <v>94</v>
      </c>
      <c r="L462" t="s">
        <v>1496</v>
      </c>
      <c r="M462" t="s">
        <v>45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46</v>
      </c>
      <c r="U462" t="s">
        <v>47</v>
      </c>
      <c r="V462" t="str">
        <f t="shared" si="69"/>
        <v>Valid</v>
      </c>
      <c r="W462">
        <f t="shared" si="70"/>
        <v>6</v>
      </c>
      <c r="Y462" t="str">
        <f t="shared" si="71"/>
        <v>Missing Region</v>
      </c>
      <c r="Z462" t="str">
        <f t="shared" si="72"/>
        <v>OK</v>
      </c>
      <c r="AA462" t="str">
        <f t="shared" si="73"/>
        <v>OK</v>
      </c>
      <c r="AB462" t="str">
        <f t="shared" si="74"/>
        <v>Valid</v>
      </c>
      <c r="AC462" t="str">
        <f>IF(OR(AB462="Invalid Discount",V462="Invalid Shipping"),
"Invalid",
IF(OR(Y462="Missing Region",
Z462="Missing Ship Mode",
AA462="Missing Discount",
X462="Flagged for Review"),
"Warning",
"Clean"))</f>
        <v>Warning</v>
      </c>
      <c r="AD462">
        <f t="shared" si="75"/>
        <v>0.05</v>
      </c>
      <c r="AE462">
        <f>N462*O462*(1-AD462)</f>
        <v>11626.974000000002</v>
      </c>
      <c r="AF462">
        <f>AE462-R462</f>
        <v>4232.9040000000023</v>
      </c>
      <c r="AG462" s="3">
        <f t="shared" si="76"/>
        <v>0.36405895463428417</v>
      </c>
      <c r="AH462" t="str">
        <f t="shared" si="77"/>
        <v>September</v>
      </c>
      <c r="AI462">
        <f t="shared" si="78"/>
        <v>2025</v>
      </c>
    </row>
    <row r="463" spans="1:35">
      <c r="A463" t="s">
        <v>1497</v>
      </c>
      <c r="B463" s="2">
        <v>45802</v>
      </c>
      <c r="C463" s="2">
        <v>45803</v>
      </c>
      <c r="D463" t="s">
        <v>1498</v>
      </c>
      <c r="E463" t="s">
        <v>93</v>
      </c>
      <c r="F463" t="s">
        <v>104</v>
      </c>
      <c r="G463" t="s">
        <v>68</v>
      </c>
      <c r="H463" t="s">
        <v>98</v>
      </c>
      <c r="I463" t="s">
        <v>99</v>
      </c>
      <c r="J463" t="s">
        <v>42</v>
      </c>
      <c r="K463" t="s">
        <v>43</v>
      </c>
      <c r="L463" t="s">
        <v>1499</v>
      </c>
      <c r="M463" t="s">
        <v>73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46</v>
      </c>
      <c r="U463" t="s">
        <v>47</v>
      </c>
      <c r="V463" t="str">
        <f t="shared" si="69"/>
        <v>Valid</v>
      </c>
      <c r="W463">
        <f t="shared" si="70"/>
        <v>1</v>
      </c>
      <c r="Y463" t="str">
        <f t="shared" si="71"/>
        <v>OK</v>
      </c>
      <c r="Z463" t="str">
        <f t="shared" si="72"/>
        <v>OK</v>
      </c>
      <c r="AA463" t="str">
        <f t="shared" si="73"/>
        <v>OK</v>
      </c>
      <c r="AB463" t="str">
        <f t="shared" si="74"/>
        <v>Valid</v>
      </c>
      <c r="AC463" t="str">
        <f>IF(OR(AB463="Invalid Discount",V463="Invalid Shipping"),
"Invalid",
IF(OR(Y463="Missing Region",
Z463="Missing Ship Mode",
AA463="Missing Discount",
X463="Flagged for Review"),
"Warning",
"Clean"))</f>
        <v>Clean</v>
      </c>
      <c r="AD463">
        <f t="shared" si="75"/>
        <v>0.15</v>
      </c>
      <c r="AE463">
        <f>N463*O463*(1-AD463)</f>
        <v>8614.2825000000012</v>
      </c>
      <c r="AF463">
        <f>AE463-R463</f>
        <v>1562.2025000000012</v>
      </c>
      <c r="AG463" s="3">
        <f t="shared" si="76"/>
        <v>0.18135027496486225</v>
      </c>
      <c r="AH463" t="str">
        <f t="shared" si="77"/>
        <v>May</v>
      </c>
      <c r="AI463">
        <f t="shared" si="78"/>
        <v>2025</v>
      </c>
    </row>
    <row r="464" spans="1:35">
      <c r="A464" t="s">
        <v>1500</v>
      </c>
      <c r="B464" s="2">
        <v>45558</v>
      </c>
      <c r="C464" s="2">
        <v>45560</v>
      </c>
      <c r="D464" t="s">
        <v>1501</v>
      </c>
      <c r="E464" t="s">
        <v>142</v>
      </c>
      <c r="F464" t="s">
        <v>109</v>
      </c>
      <c r="G464" t="s">
        <v>39</v>
      </c>
      <c r="H464" t="s">
        <v>365</v>
      </c>
      <c r="I464" t="s">
        <v>366</v>
      </c>
      <c r="J464" t="s">
        <v>42</v>
      </c>
      <c r="K464" t="s">
        <v>167</v>
      </c>
      <c r="L464" t="s">
        <v>1502</v>
      </c>
      <c r="M464" t="s">
        <v>64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46</v>
      </c>
      <c r="U464" t="s">
        <v>47</v>
      </c>
      <c r="V464" t="str">
        <f t="shared" si="69"/>
        <v>Valid</v>
      </c>
      <c r="W464">
        <f t="shared" si="70"/>
        <v>2</v>
      </c>
      <c r="Y464" t="str">
        <f t="shared" si="71"/>
        <v>OK</v>
      </c>
      <c r="Z464" t="str">
        <f t="shared" si="72"/>
        <v>OK</v>
      </c>
      <c r="AA464" t="str">
        <f t="shared" si="73"/>
        <v>OK</v>
      </c>
      <c r="AB464" t="str">
        <f t="shared" si="74"/>
        <v>Valid</v>
      </c>
      <c r="AC464" t="str">
        <f>IF(OR(AB464="Invalid Discount",V464="Invalid Shipping"),
"Invalid",
IF(OR(Y464="Missing Region",
Z464="Missing Ship Mode",
AA464="Missing Discount",
X464="Flagged for Review"),
"Warning",
"Clean"))</f>
        <v>Clean</v>
      </c>
      <c r="AD464">
        <f t="shared" si="75"/>
        <v>0.2</v>
      </c>
      <c r="AE464">
        <f>N464*O464*(1-AD464)</f>
        <v>2040.2240000000002</v>
      </c>
      <c r="AF464">
        <f>AE464-R464</f>
        <v>644.51400000000012</v>
      </c>
      <c r="AG464" s="3">
        <f t="shared" si="76"/>
        <v>0.31590354784572677</v>
      </c>
      <c r="AH464" t="str">
        <f t="shared" si="77"/>
        <v>September</v>
      </c>
      <c r="AI464">
        <f t="shared" si="78"/>
        <v>2024</v>
      </c>
    </row>
    <row r="465" spans="1:35">
      <c r="A465" t="s">
        <v>1503</v>
      </c>
      <c r="B465" s="2">
        <v>45695</v>
      </c>
      <c r="C465" s="2">
        <v>45696</v>
      </c>
      <c r="D465" t="s">
        <v>1504</v>
      </c>
      <c r="E465" t="s">
        <v>67</v>
      </c>
      <c r="F465" t="s">
        <v>104</v>
      </c>
      <c r="G465" t="s">
        <v>77</v>
      </c>
      <c r="H465" t="s">
        <v>86</v>
      </c>
      <c r="I465" t="s">
        <v>87</v>
      </c>
      <c r="J465" t="s">
        <v>88</v>
      </c>
      <c r="K465" t="s">
        <v>185</v>
      </c>
      <c r="L465" t="s">
        <v>1505</v>
      </c>
      <c r="M465" t="s">
        <v>73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46</v>
      </c>
      <c r="U465" t="s">
        <v>47</v>
      </c>
      <c r="V465" t="str">
        <f t="shared" si="69"/>
        <v>Valid</v>
      </c>
      <c r="W465">
        <f t="shared" si="70"/>
        <v>1</v>
      </c>
      <c r="Y465" t="str">
        <f t="shared" si="71"/>
        <v>OK</v>
      </c>
      <c r="Z465" t="str">
        <f t="shared" si="72"/>
        <v>OK</v>
      </c>
      <c r="AA465" t="str">
        <f t="shared" si="73"/>
        <v>OK</v>
      </c>
      <c r="AB465" t="str">
        <f t="shared" si="74"/>
        <v>Valid</v>
      </c>
      <c r="AC465" t="str">
        <f>IF(OR(AB465="Invalid Discount",V465="Invalid Shipping"),
"Invalid",
IF(OR(Y465="Missing Region",
Z465="Missing Ship Mode",
AA465="Missing Discount",
X465="Flagged for Review"),
"Warning",
"Clean"))</f>
        <v>Clean</v>
      </c>
      <c r="AD465">
        <f t="shared" si="75"/>
        <v>0.2</v>
      </c>
      <c r="AE465">
        <f>N465*O465*(1-AD465)</f>
        <v>2846.4</v>
      </c>
      <c r="AF465">
        <f>AE465-R465</f>
        <v>714.0300000000002</v>
      </c>
      <c r="AG465" s="3">
        <f t="shared" si="76"/>
        <v>0.25085370994940986</v>
      </c>
      <c r="AH465" t="str">
        <f t="shared" si="77"/>
        <v>February</v>
      </c>
      <c r="AI465">
        <f t="shared" si="78"/>
        <v>2025</v>
      </c>
    </row>
    <row r="466" spans="1:35">
      <c r="A466" t="s">
        <v>1506</v>
      </c>
      <c r="B466" s="2">
        <v>45727</v>
      </c>
      <c r="C466" s="2">
        <v>45731</v>
      </c>
      <c r="D466" t="s">
        <v>1507</v>
      </c>
      <c r="E466" t="s">
        <v>67</v>
      </c>
      <c r="F466" t="s">
        <v>104</v>
      </c>
      <c r="G466" t="s">
        <v>52</v>
      </c>
      <c r="H466" t="s">
        <v>159</v>
      </c>
      <c r="I466" t="s">
        <v>160</v>
      </c>
      <c r="J466" t="s">
        <v>42</v>
      </c>
      <c r="K466" t="s">
        <v>43</v>
      </c>
      <c r="L466" t="s">
        <v>1508</v>
      </c>
      <c r="M466" t="s">
        <v>58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125</v>
      </c>
      <c r="U466" t="s">
        <v>82</v>
      </c>
      <c r="V466" t="str">
        <f t="shared" si="69"/>
        <v>Valid</v>
      </c>
      <c r="W466">
        <f t="shared" si="70"/>
        <v>4</v>
      </c>
      <c r="Y466" t="str">
        <f t="shared" si="71"/>
        <v>OK</v>
      </c>
      <c r="Z466" t="str">
        <f t="shared" si="72"/>
        <v>OK</v>
      </c>
      <c r="AA466" t="str">
        <f t="shared" si="73"/>
        <v>OK</v>
      </c>
      <c r="AB466" t="str">
        <f t="shared" si="74"/>
        <v>Valid</v>
      </c>
      <c r="AC466" t="str">
        <f>IF(OR(AB466="Invalid Discount",V466="Invalid Shipping"),
"Invalid",
IF(OR(Y466="Missing Region",
Z466="Missing Ship Mode",
AA466="Missing Discount",
X466="Flagged for Review"),
"Warning",
"Clean"))</f>
        <v>Clean</v>
      </c>
      <c r="AD466">
        <f t="shared" si="75"/>
        <v>0.05</v>
      </c>
      <c r="AE466">
        <f>N466*O466*(1-AD466)</f>
        <v>10331.477999999999</v>
      </c>
      <c r="AF466">
        <f>AE466-R466</f>
        <v>3199.5679999999993</v>
      </c>
      <c r="AG466" s="3">
        <f t="shared" si="76"/>
        <v>0.30969121746181905</v>
      </c>
      <c r="AH466" t="str">
        <f t="shared" si="77"/>
        <v>March</v>
      </c>
      <c r="AI466">
        <f t="shared" si="78"/>
        <v>2025</v>
      </c>
    </row>
    <row r="467" spans="1:35">
      <c r="A467" t="s">
        <v>1509</v>
      </c>
      <c r="B467" s="2">
        <v>45320</v>
      </c>
      <c r="C467" s="2">
        <v>45328</v>
      </c>
      <c r="D467" t="s">
        <v>1510</v>
      </c>
      <c r="E467" t="s">
        <v>142</v>
      </c>
      <c r="F467" t="s">
        <v>51</v>
      </c>
      <c r="G467" t="s">
        <v>77</v>
      </c>
      <c r="H467" t="s">
        <v>86</v>
      </c>
      <c r="I467" t="s">
        <v>87</v>
      </c>
      <c r="J467" t="s">
        <v>42</v>
      </c>
      <c r="K467" t="s">
        <v>105</v>
      </c>
      <c r="L467" t="s">
        <v>1511</v>
      </c>
      <c r="M467" t="s">
        <v>73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46</v>
      </c>
      <c r="U467" t="s">
        <v>47</v>
      </c>
      <c r="V467" t="str">
        <f t="shared" si="69"/>
        <v>Valid</v>
      </c>
      <c r="W467">
        <f t="shared" si="70"/>
        <v>8</v>
      </c>
      <c r="Y467" t="str">
        <f t="shared" si="71"/>
        <v>OK</v>
      </c>
      <c r="Z467" t="str">
        <f t="shared" si="72"/>
        <v>OK</v>
      </c>
      <c r="AA467" t="str">
        <f t="shared" si="73"/>
        <v>OK</v>
      </c>
      <c r="AB467" t="str">
        <f t="shared" si="74"/>
        <v>Valid</v>
      </c>
      <c r="AC467" t="str">
        <f>IF(OR(AB467="Invalid Discount",V467="Invalid Shipping"),
"Invalid",
IF(OR(Y467="Missing Region",
Z467="Missing Ship Mode",
AA467="Missing Discount",
X467="Flagged for Review"),
"Warning",
"Clean"))</f>
        <v>Clean</v>
      </c>
      <c r="AD467">
        <f t="shared" si="75"/>
        <v>0</v>
      </c>
      <c r="AE467">
        <f>N467*O467*(1-AD467)</f>
        <v>2517.8000000000002</v>
      </c>
      <c r="AF467">
        <f>AE467-R467</f>
        <v>1039.2600000000002</v>
      </c>
      <c r="AG467" s="3">
        <f t="shared" si="76"/>
        <v>0.41276511239971408</v>
      </c>
      <c r="AH467" t="str">
        <f t="shared" si="77"/>
        <v>January</v>
      </c>
      <c r="AI467">
        <f t="shared" si="78"/>
        <v>2024</v>
      </c>
    </row>
    <row r="468" spans="1:35">
      <c r="A468" t="s">
        <v>1512</v>
      </c>
      <c r="B468" s="2">
        <v>45295</v>
      </c>
      <c r="C468" s="2">
        <v>45299</v>
      </c>
      <c r="D468" t="s">
        <v>1513</v>
      </c>
      <c r="E468" t="s">
        <v>50</v>
      </c>
      <c r="F468" t="s">
        <v>51</v>
      </c>
      <c r="G468" t="s">
        <v>52</v>
      </c>
      <c r="H468" t="s">
        <v>159</v>
      </c>
      <c r="I468" t="s">
        <v>160</v>
      </c>
      <c r="J468" t="s">
        <v>88</v>
      </c>
      <c r="K468" t="s">
        <v>89</v>
      </c>
      <c r="L468" t="s">
        <v>1514</v>
      </c>
      <c r="M468" t="s">
        <v>58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46</v>
      </c>
      <c r="U468" t="s">
        <v>47</v>
      </c>
      <c r="V468" t="str">
        <f t="shared" si="69"/>
        <v>Valid</v>
      </c>
      <c r="W468">
        <f t="shared" si="70"/>
        <v>4</v>
      </c>
      <c r="Y468" t="str">
        <f t="shared" si="71"/>
        <v>OK</v>
      </c>
      <c r="Z468" t="str">
        <f t="shared" si="72"/>
        <v>OK</v>
      </c>
      <c r="AA468" t="str">
        <f t="shared" si="73"/>
        <v>OK</v>
      </c>
      <c r="AB468" t="str">
        <f t="shared" si="74"/>
        <v>Valid</v>
      </c>
      <c r="AC468" t="str">
        <f>IF(OR(AB468="Invalid Discount",V468="Invalid Shipping"),
"Invalid",
IF(OR(Y468="Missing Region",
Z468="Missing Ship Mode",
AA468="Missing Discount",
X468="Flagged for Review"),
"Warning",
"Clean"))</f>
        <v>Clean</v>
      </c>
      <c r="AD468">
        <f t="shared" si="75"/>
        <v>0.2</v>
      </c>
      <c r="AE468">
        <f>N468*O468*(1-AD468)</f>
        <v>11462.112000000001</v>
      </c>
      <c r="AF468">
        <f>AE468-R468</f>
        <v>4356.6320000000014</v>
      </c>
      <c r="AG468" s="3">
        <f t="shared" si="76"/>
        <v>0.38008981241851425</v>
      </c>
      <c r="AH468" t="str">
        <f t="shared" si="77"/>
        <v>January</v>
      </c>
      <c r="AI468">
        <f t="shared" si="78"/>
        <v>2024</v>
      </c>
    </row>
    <row r="469" spans="1:35">
      <c r="A469" t="s">
        <v>1515</v>
      </c>
      <c r="B469" s="2">
        <v>45524</v>
      </c>
      <c r="C469" s="2">
        <v>45525</v>
      </c>
      <c r="D469" t="s">
        <v>1516</v>
      </c>
      <c r="E469" t="s">
        <v>103</v>
      </c>
      <c r="F469" t="s">
        <v>104</v>
      </c>
      <c r="G469" t="s">
        <v>52</v>
      </c>
      <c r="H469" t="s">
        <v>53</v>
      </c>
      <c r="I469" t="s">
        <v>54</v>
      </c>
      <c r="J469" t="s">
        <v>88</v>
      </c>
      <c r="K469" t="s">
        <v>94</v>
      </c>
      <c r="L469" t="s">
        <v>1517</v>
      </c>
      <c r="M469" t="s">
        <v>64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116</v>
      </c>
      <c r="U469" t="s">
        <v>82</v>
      </c>
      <c r="V469" t="str">
        <f t="shared" si="69"/>
        <v>Valid</v>
      </c>
      <c r="W469">
        <f t="shared" si="70"/>
        <v>1</v>
      </c>
      <c r="Y469" t="str">
        <f t="shared" si="71"/>
        <v>OK</v>
      </c>
      <c r="Z469" t="str">
        <f t="shared" si="72"/>
        <v>OK</v>
      </c>
      <c r="AA469" t="str">
        <f t="shared" si="73"/>
        <v>OK</v>
      </c>
      <c r="AB469" t="str">
        <f t="shared" si="74"/>
        <v>Valid</v>
      </c>
      <c r="AC469" t="str">
        <f>IF(OR(AB469="Invalid Discount",V469="Invalid Shipping"),
"Invalid",
IF(OR(Y469="Missing Region",
Z469="Missing Ship Mode",
AA469="Missing Discount",
X469="Flagged for Review"),
"Warning",
"Clean"))</f>
        <v>Clean</v>
      </c>
      <c r="AD469">
        <f t="shared" si="75"/>
        <v>0.1</v>
      </c>
      <c r="AE469">
        <f>N469*O469*(1-AD469)</f>
        <v>19297.485000000001</v>
      </c>
      <c r="AF469">
        <f>AE469-R469</f>
        <v>3845.8250000000007</v>
      </c>
      <c r="AG469" s="3">
        <f t="shared" si="76"/>
        <v>0.1992915138941681</v>
      </c>
      <c r="AH469" t="str">
        <f t="shared" si="77"/>
        <v>August</v>
      </c>
      <c r="AI469">
        <f t="shared" si="78"/>
        <v>2024</v>
      </c>
    </row>
    <row r="470" spans="1:35">
      <c r="A470" t="s">
        <v>1518</v>
      </c>
      <c r="B470" s="2">
        <v>45666</v>
      </c>
      <c r="C470" s="2">
        <v>45664</v>
      </c>
      <c r="D470" t="s">
        <v>1519</v>
      </c>
      <c r="E470" t="s">
        <v>142</v>
      </c>
      <c r="F470" t="s">
        <v>109</v>
      </c>
      <c r="G470" t="s">
        <v>52</v>
      </c>
      <c r="H470" t="s">
        <v>113</v>
      </c>
      <c r="I470" t="s">
        <v>114</v>
      </c>
      <c r="J470" t="s">
        <v>42</v>
      </c>
      <c r="K470" t="s">
        <v>167</v>
      </c>
      <c r="L470" t="s">
        <v>1520</v>
      </c>
      <c r="M470" t="s">
        <v>45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46</v>
      </c>
      <c r="U470" t="s">
        <v>47</v>
      </c>
      <c r="V470" t="str">
        <f t="shared" si="69"/>
        <v>Invalid Shipping</v>
      </c>
      <c r="W470">
        <f t="shared" si="70"/>
        <v>-2</v>
      </c>
      <c r="Y470" t="str">
        <f t="shared" si="71"/>
        <v>OK</v>
      </c>
      <c r="Z470" t="str">
        <f t="shared" si="72"/>
        <v>OK</v>
      </c>
      <c r="AA470" t="str">
        <f t="shared" si="73"/>
        <v>OK</v>
      </c>
      <c r="AB470" t="str">
        <f t="shared" si="74"/>
        <v>Valid</v>
      </c>
      <c r="AC470" t="str">
        <f>IF(OR(AB470="Invalid Discount",V470="Invalid Shipping"),
"Invalid",
IF(OR(Y470="Missing Region",
Z470="Missing Ship Mode",
AA470="Missing Discount",
X470="Flagged for Review"),
"Warning",
"Clean"))</f>
        <v>Invalid</v>
      </c>
      <c r="AD470">
        <f t="shared" si="75"/>
        <v>0</v>
      </c>
      <c r="AE470">
        <f>N470*O470*(1-AD470)</f>
        <v>6564.99</v>
      </c>
      <c r="AF470">
        <f>AE470-R470</f>
        <v>1157.75</v>
      </c>
      <c r="AG470" s="3">
        <f t="shared" si="76"/>
        <v>0.17635213458055535</v>
      </c>
      <c r="AH470" t="str">
        <f t="shared" si="77"/>
        <v>January</v>
      </c>
      <c r="AI470">
        <f t="shared" si="78"/>
        <v>2025</v>
      </c>
    </row>
    <row r="471" spans="1:35">
      <c r="A471" t="s">
        <v>1521</v>
      </c>
      <c r="B471" s="2">
        <v>45310</v>
      </c>
      <c r="C471" s="2">
        <v>45316</v>
      </c>
      <c r="D471" t="s">
        <v>1522</v>
      </c>
      <c r="E471" t="s">
        <v>103</v>
      </c>
      <c r="F471" t="s">
        <v>104</v>
      </c>
      <c r="G471" t="s">
        <v>77</v>
      </c>
      <c r="H471" t="s">
        <v>204</v>
      </c>
      <c r="I471" t="s">
        <v>205</v>
      </c>
      <c r="J471" t="s">
        <v>88</v>
      </c>
      <c r="K471" t="s">
        <v>94</v>
      </c>
      <c r="L471" t="s">
        <v>1523</v>
      </c>
      <c r="M471" t="s">
        <v>64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46</v>
      </c>
      <c r="U471" t="s">
        <v>47</v>
      </c>
      <c r="V471" t="str">
        <f t="shared" si="69"/>
        <v>Valid</v>
      </c>
      <c r="W471">
        <f t="shared" si="70"/>
        <v>6</v>
      </c>
      <c r="Y471" t="str">
        <f t="shared" si="71"/>
        <v>OK</v>
      </c>
      <c r="Z471" t="str">
        <f t="shared" si="72"/>
        <v>OK</v>
      </c>
      <c r="AA471" t="str">
        <f t="shared" si="73"/>
        <v>OK</v>
      </c>
      <c r="AB471" t="str">
        <f t="shared" si="74"/>
        <v>Valid</v>
      </c>
      <c r="AC471" t="str">
        <f>IF(OR(AB471="Invalid Discount",V471="Invalid Shipping"),
"Invalid",
IF(OR(Y471="Missing Region",
Z471="Missing Ship Mode",
AA471="Missing Discount",
X471="Flagged for Review"),
"Warning",
"Clean"))</f>
        <v>Clean</v>
      </c>
      <c r="AD471">
        <f t="shared" si="75"/>
        <v>0.1</v>
      </c>
      <c r="AE471">
        <f>N471*O471*(1-AD471)</f>
        <v>2812.4820000000004</v>
      </c>
      <c r="AF471">
        <f>AE471-R471</f>
        <v>530.36200000000053</v>
      </c>
      <c r="AG471" s="3">
        <f t="shared" si="76"/>
        <v>0.18857436243147527</v>
      </c>
      <c r="AH471" t="str">
        <f t="shared" si="77"/>
        <v>January</v>
      </c>
      <c r="AI471">
        <f t="shared" si="78"/>
        <v>2024</v>
      </c>
    </row>
    <row r="472" spans="1:35">
      <c r="A472" t="s">
        <v>1524</v>
      </c>
      <c r="B472" s="2">
        <v>45501</v>
      </c>
      <c r="C472" s="2">
        <v>45504</v>
      </c>
      <c r="D472" t="s">
        <v>1525</v>
      </c>
      <c r="E472" t="s">
        <v>103</v>
      </c>
      <c r="F472" t="s">
        <v>38</v>
      </c>
      <c r="G472" t="s">
        <v>39</v>
      </c>
      <c r="H472" t="s">
        <v>40</v>
      </c>
      <c r="I472" t="s">
        <v>41</v>
      </c>
      <c r="J472" t="s">
        <v>55</v>
      </c>
      <c r="K472" t="s">
        <v>56</v>
      </c>
      <c r="L472" t="s">
        <v>1526</v>
      </c>
      <c r="M472" t="s">
        <v>58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46</v>
      </c>
      <c r="U472" t="s">
        <v>47</v>
      </c>
      <c r="V472" t="str">
        <f t="shared" si="69"/>
        <v>Valid</v>
      </c>
      <c r="W472">
        <f t="shared" si="70"/>
        <v>3</v>
      </c>
      <c r="Y472" t="str">
        <f t="shared" si="71"/>
        <v>OK</v>
      </c>
      <c r="Z472" t="str">
        <f t="shared" si="72"/>
        <v>OK</v>
      </c>
      <c r="AA472" t="str">
        <f t="shared" si="73"/>
        <v>OK</v>
      </c>
      <c r="AB472" t="str">
        <f t="shared" si="74"/>
        <v>Valid</v>
      </c>
      <c r="AC472" t="str">
        <f>IF(OR(AB472="Invalid Discount",V472="Invalid Shipping"),
"Invalid",
IF(OR(Y472="Missing Region",
Z472="Missing Ship Mode",
AA472="Missing Discount",
X472="Flagged for Review"),
"Warning",
"Clean"))</f>
        <v>Clean</v>
      </c>
      <c r="AD472">
        <f t="shared" si="75"/>
        <v>0.2</v>
      </c>
      <c r="AE472">
        <f>N472*O472*(1-AD472)</f>
        <v>7079.6480000000001</v>
      </c>
      <c r="AF472">
        <f>AE472-R472</f>
        <v>2613.7380000000003</v>
      </c>
      <c r="AG472" s="3">
        <f t="shared" si="76"/>
        <v>0.36919038912669105</v>
      </c>
      <c r="AH472" t="str">
        <f t="shared" si="77"/>
        <v>July</v>
      </c>
      <c r="AI472">
        <f t="shared" si="78"/>
        <v>2024</v>
      </c>
    </row>
    <row r="473" spans="1:35">
      <c r="A473" t="s">
        <v>1527</v>
      </c>
      <c r="B473" s="2">
        <v>45333</v>
      </c>
      <c r="C473" s="2">
        <v>45337</v>
      </c>
      <c r="D473" t="s">
        <v>1528</v>
      </c>
      <c r="E473" t="s">
        <v>279</v>
      </c>
      <c r="F473" t="s">
        <v>38</v>
      </c>
      <c r="G473" t="s">
        <v>68</v>
      </c>
      <c r="H473" t="s">
        <v>69</v>
      </c>
      <c r="I473" t="s">
        <v>70</v>
      </c>
      <c r="J473" t="s">
        <v>42</v>
      </c>
      <c r="K473" t="s">
        <v>167</v>
      </c>
      <c r="L473" t="s">
        <v>1529</v>
      </c>
      <c r="M473" t="s">
        <v>73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46</v>
      </c>
      <c r="U473" t="s">
        <v>47</v>
      </c>
      <c r="V473" t="str">
        <f t="shared" si="69"/>
        <v>Valid</v>
      </c>
      <c r="W473">
        <f t="shared" si="70"/>
        <v>4</v>
      </c>
      <c r="Y473" t="str">
        <f t="shared" si="71"/>
        <v>OK</v>
      </c>
      <c r="Z473" t="str">
        <f t="shared" si="72"/>
        <v>OK</v>
      </c>
      <c r="AA473" t="str">
        <f t="shared" si="73"/>
        <v>OK</v>
      </c>
      <c r="AB473" t="str">
        <f t="shared" si="74"/>
        <v>Valid</v>
      </c>
      <c r="AC473" t="str">
        <f>IF(OR(AB473="Invalid Discount",V473="Invalid Shipping"),
"Invalid",
IF(OR(Y473="Missing Region",
Z473="Missing Ship Mode",
AA473="Missing Discount",
X473="Flagged for Review"),
"Warning",
"Clean"))</f>
        <v>Clean</v>
      </c>
      <c r="AD473">
        <f t="shared" si="75"/>
        <v>0.25</v>
      </c>
      <c r="AE473">
        <f>N473*O473*(1-AD473)</f>
        <v>6793.0650000000005</v>
      </c>
      <c r="AF473">
        <f>AE473-R473</f>
        <v>1807.8450000000003</v>
      </c>
      <c r="AG473" s="3">
        <f t="shared" si="76"/>
        <v>0.26613097327936652</v>
      </c>
      <c r="AH473" t="str">
        <f t="shared" si="77"/>
        <v>February</v>
      </c>
      <c r="AI473">
        <f t="shared" si="78"/>
        <v>2024</v>
      </c>
    </row>
    <row r="474" spans="1:35">
      <c r="A474" t="s">
        <v>1530</v>
      </c>
      <c r="B474" s="2">
        <v>45353</v>
      </c>
      <c r="C474" s="2">
        <v>45358</v>
      </c>
      <c r="D474" t="s">
        <v>1531</v>
      </c>
      <c r="E474" t="s">
        <v>155</v>
      </c>
      <c r="F474" t="s">
        <v>104</v>
      </c>
      <c r="G474" t="s">
        <v>52</v>
      </c>
      <c r="H474" t="s">
        <v>53</v>
      </c>
      <c r="I474" t="s">
        <v>54</v>
      </c>
      <c r="J474" t="s">
        <v>42</v>
      </c>
      <c r="K474" t="s">
        <v>138</v>
      </c>
      <c r="L474" t="s">
        <v>1532</v>
      </c>
      <c r="M474" t="s">
        <v>73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46</v>
      </c>
      <c r="U474" t="s">
        <v>47</v>
      </c>
      <c r="V474" t="str">
        <f t="shared" si="69"/>
        <v>Valid</v>
      </c>
      <c r="W474">
        <f t="shared" si="70"/>
        <v>5</v>
      </c>
      <c r="Y474" t="str">
        <f t="shared" si="71"/>
        <v>OK</v>
      </c>
      <c r="Z474" t="str">
        <f t="shared" si="72"/>
        <v>OK</v>
      </c>
      <c r="AA474" t="str">
        <f t="shared" si="73"/>
        <v>OK</v>
      </c>
      <c r="AB474" t="str">
        <f t="shared" si="74"/>
        <v>Valid</v>
      </c>
      <c r="AC474" t="str">
        <f>IF(OR(AB474="Invalid Discount",V474="Invalid Shipping"),
"Invalid",
IF(OR(Y474="Missing Region",
Z474="Missing Ship Mode",
AA474="Missing Discount",
X474="Flagged for Review"),
"Warning",
"Clean"))</f>
        <v>Clean</v>
      </c>
      <c r="AD474">
        <f t="shared" si="75"/>
        <v>0</v>
      </c>
      <c r="AE474">
        <f>N474*O474*(1-AD474)</f>
        <v>1844.2199999999998</v>
      </c>
      <c r="AF474">
        <f>AE474-R474</f>
        <v>750.00999999999976</v>
      </c>
      <c r="AG474" s="3">
        <f t="shared" si="76"/>
        <v>0.40668141544934977</v>
      </c>
      <c r="AH474" t="str">
        <f t="shared" si="77"/>
        <v>March</v>
      </c>
      <c r="AI474">
        <f t="shared" si="78"/>
        <v>2024</v>
      </c>
    </row>
    <row r="475" spans="1:35">
      <c r="A475" t="s">
        <v>1533</v>
      </c>
      <c r="B475" s="2">
        <v>45609</v>
      </c>
      <c r="C475" s="2">
        <v>45609</v>
      </c>
      <c r="D475" t="s">
        <v>1534</v>
      </c>
      <c r="E475" t="s">
        <v>128</v>
      </c>
      <c r="F475" t="s">
        <v>38</v>
      </c>
      <c r="G475" t="s">
        <v>77</v>
      </c>
      <c r="H475" t="s">
        <v>204</v>
      </c>
      <c r="I475" t="s">
        <v>205</v>
      </c>
      <c r="J475" t="s">
        <v>88</v>
      </c>
      <c r="K475" t="s">
        <v>94</v>
      </c>
      <c r="L475" t="s">
        <v>1535</v>
      </c>
      <c r="M475" t="s">
        <v>73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46</v>
      </c>
      <c r="U475" t="s">
        <v>47</v>
      </c>
      <c r="V475" t="str">
        <f t="shared" si="69"/>
        <v>Valid</v>
      </c>
      <c r="W475">
        <f t="shared" si="70"/>
        <v>0</v>
      </c>
      <c r="Y475" t="str">
        <f t="shared" si="71"/>
        <v>OK</v>
      </c>
      <c r="Z475" t="str">
        <f t="shared" si="72"/>
        <v>OK</v>
      </c>
      <c r="AA475" t="str">
        <f t="shared" si="73"/>
        <v>OK</v>
      </c>
      <c r="AB475" t="str">
        <f t="shared" si="74"/>
        <v>Valid</v>
      </c>
      <c r="AC475" t="str">
        <f>IF(OR(AB475="Invalid Discount",V475="Invalid Shipping"),
"Invalid",
IF(OR(Y475="Missing Region",
Z475="Missing Ship Mode",
AA475="Missing Discount",
X475="Flagged for Review"),
"Warning",
"Clean"))</f>
        <v>Clean</v>
      </c>
      <c r="AD475">
        <f t="shared" si="75"/>
        <v>0.2</v>
      </c>
      <c r="AE475">
        <f>N475*O475*(1-AD475)</f>
        <v>918.95999999999992</v>
      </c>
      <c r="AF475">
        <f>AE475-R475</f>
        <v>364.78</v>
      </c>
      <c r="AG475" s="3">
        <f t="shared" si="76"/>
        <v>0.39694872464525116</v>
      </c>
      <c r="AH475" t="str">
        <f t="shared" si="77"/>
        <v>November</v>
      </c>
      <c r="AI475">
        <f t="shared" si="78"/>
        <v>2024</v>
      </c>
    </row>
    <row r="476" spans="1:35">
      <c r="A476" t="s">
        <v>1536</v>
      </c>
      <c r="B476" s="2">
        <v>45446</v>
      </c>
      <c r="C476" s="2">
        <v>45453</v>
      </c>
      <c r="D476" t="s">
        <v>1537</v>
      </c>
      <c r="E476" t="s">
        <v>176</v>
      </c>
      <c r="F476" t="s">
        <v>104</v>
      </c>
      <c r="G476" t="s">
        <v>39</v>
      </c>
      <c r="H476" t="s">
        <v>136</v>
      </c>
      <c r="I476" t="s">
        <v>137</v>
      </c>
      <c r="J476" t="s">
        <v>55</v>
      </c>
      <c r="K476" t="s">
        <v>71</v>
      </c>
      <c r="L476" t="s">
        <v>1538</v>
      </c>
      <c r="M476" t="s">
        <v>73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46</v>
      </c>
      <c r="U476" t="s">
        <v>47</v>
      </c>
      <c r="V476" t="str">
        <f t="shared" si="69"/>
        <v>Valid</v>
      </c>
      <c r="W476">
        <f t="shared" si="70"/>
        <v>7</v>
      </c>
      <c r="Y476" t="str">
        <f t="shared" si="71"/>
        <v>OK</v>
      </c>
      <c r="Z476" t="str">
        <f t="shared" si="72"/>
        <v>OK</v>
      </c>
      <c r="AA476" t="str">
        <f t="shared" si="73"/>
        <v>OK</v>
      </c>
      <c r="AB476" t="str">
        <f t="shared" si="74"/>
        <v>Valid</v>
      </c>
      <c r="AC476" t="str">
        <f>IF(OR(AB476="Invalid Discount",V476="Invalid Shipping"),
"Invalid",
IF(OR(Y476="Missing Region",
Z476="Missing Ship Mode",
AA476="Missing Discount",
X476="Flagged for Review"),
"Warning",
"Clean"))</f>
        <v>Clean</v>
      </c>
      <c r="AD476">
        <f t="shared" si="75"/>
        <v>0</v>
      </c>
      <c r="AE476">
        <f>N476*O476*(1-AD476)</f>
        <v>4900.71</v>
      </c>
      <c r="AF476">
        <f>AE476-R476</f>
        <v>2186.81</v>
      </c>
      <c r="AG476" s="3">
        <f t="shared" si="76"/>
        <v>0.44622309828575857</v>
      </c>
      <c r="AH476" t="str">
        <f t="shared" si="77"/>
        <v>June</v>
      </c>
      <c r="AI476">
        <f t="shared" si="78"/>
        <v>2024</v>
      </c>
    </row>
    <row r="477" spans="1:35">
      <c r="A477" t="s">
        <v>1539</v>
      </c>
      <c r="B477" s="2">
        <v>45717</v>
      </c>
      <c r="C477" s="2">
        <v>45724</v>
      </c>
      <c r="D477" t="s">
        <v>1540</v>
      </c>
      <c r="E477" t="s">
        <v>85</v>
      </c>
      <c r="F477" t="s">
        <v>38</v>
      </c>
      <c r="G477" t="s">
        <v>52</v>
      </c>
      <c r="H477" t="s">
        <v>113</v>
      </c>
      <c r="I477" t="s">
        <v>114</v>
      </c>
      <c r="J477" t="s">
        <v>55</v>
      </c>
      <c r="K477" t="s">
        <v>80</v>
      </c>
      <c r="L477" t="s">
        <v>1541</v>
      </c>
      <c r="M477" t="s">
        <v>58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125</v>
      </c>
      <c r="U477" t="s">
        <v>117</v>
      </c>
      <c r="V477" t="str">
        <f t="shared" si="69"/>
        <v>Valid</v>
      </c>
      <c r="W477">
        <f t="shared" si="70"/>
        <v>7</v>
      </c>
      <c r="Y477" t="str">
        <f t="shared" si="71"/>
        <v>OK</v>
      </c>
      <c r="Z477" t="str">
        <f t="shared" si="72"/>
        <v>OK</v>
      </c>
      <c r="AA477" t="str">
        <f t="shared" si="73"/>
        <v>OK</v>
      </c>
      <c r="AB477" t="str">
        <f t="shared" si="74"/>
        <v>Valid</v>
      </c>
      <c r="AC477" t="str">
        <f>IF(OR(AB477="Invalid Discount",V477="Invalid Shipping"),
"Invalid",
IF(OR(Y477="Missing Region",
Z477="Missing Ship Mode",
AA477="Missing Discount",
X477="Flagged for Review"),
"Warning",
"Clean"))</f>
        <v>Clean</v>
      </c>
      <c r="AD477">
        <f t="shared" si="75"/>
        <v>0.25</v>
      </c>
      <c r="AE477">
        <f>N477*O477*(1-AD477)</f>
        <v>20272.920000000002</v>
      </c>
      <c r="AF477">
        <f>AE477-R477</f>
        <v>4399.5400000000027</v>
      </c>
      <c r="AG477" s="3">
        <f t="shared" si="76"/>
        <v>0.21701560505344086</v>
      </c>
      <c r="AH477" t="str">
        <f t="shared" si="77"/>
        <v>March</v>
      </c>
      <c r="AI477">
        <f t="shared" si="78"/>
        <v>2025</v>
      </c>
    </row>
    <row r="478" spans="1:35">
      <c r="A478" t="s">
        <v>1542</v>
      </c>
      <c r="B478" s="2">
        <v>45419</v>
      </c>
      <c r="C478" s="2">
        <v>45426</v>
      </c>
      <c r="D478" t="s">
        <v>1543</v>
      </c>
      <c r="E478" t="s">
        <v>146</v>
      </c>
      <c r="F478" t="s">
        <v>51</v>
      </c>
      <c r="G478" t="s">
        <v>39</v>
      </c>
      <c r="H478" t="s">
        <v>40</v>
      </c>
      <c r="I478" t="s">
        <v>41</v>
      </c>
      <c r="J478" t="s">
        <v>42</v>
      </c>
      <c r="K478" t="s">
        <v>138</v>
      </c>
      <c r="L478" t="s">
        <v>1544</v>
      </c>
      <c r="M478" t="s">
        <v>64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46</v>
      </c>
      <c r="U478" t="s">
        <v>47</v>
      </c>
      <c r="V478" t="str">
        <f t="shared" si="69"/>
        <v>Valid</v>
      </c>
      <c r="W478">
        <f t="shared" si="70"/>
        <v>7</v>
      </c>
      <c r="Y478" t="str">
        <f t="shared" si="71"/>
        <v>OK</v>
      </c>
      <c r="Z478" t="str">
        <f t="shared" si="72"/>
        <v>OK</v>
      </c>
      <c r="AA478" t="str">
        <f t="shared" si="73"/>
        <v>OK</v>
      </c>
      <c r="AB478" t="str">
        <f t="shared" si="74"/>
        <v>Valid</v>
      </c>
      <c r="AC478" t="str">
        <f>IF(OR(AB478="Invalid Discount",V478="Invalid Shipping"),
"Invalid",
IF(OR(Y478="Missing Region",
Z478="Missing Ship Mode",
AA478="Missing Discount",
X478="Flagged for Review"),
"Warning",
"Clean"))</f>
        <v>Clean</v>
      </c>
      <c r="AD478">
        <f t="shared" si="75"/>
        <v>0.1</v>
      </c>
      <c r="AE478">
        <f>N478*O478*(1-AD478)</f>
        <v>1035.6659999999999</v>
      </c>
      <c r="AF478">
        <f>AE478-R478</f>
        <v>440.24599999999998</v>
      </c>
      <c r="AG478" s="3">
        <f t="shared" si="76"/>
        <v>0.42508492120046426</v>
      </c>
      <c r="AH478" t="str">
        <f t="shared" si="77"/>
        <v>May</v>
      </c>
      <c r="AI478">
        <f t="shared" si="78"/>
        <v>2024</v>
      </c>
    </row>
    <row r="479" spans="1:35">
      <c r="A479" t="s">
        <v>1545</v>
      </c>
      <c r="B479" s="2">
        <v>45892</v>
      </c>
      <c r="C479" s="2">
        <v>45897</v>
      </c>
      <c r="D479" t="s">
        <v>1546</v>
      </c>
      <c r="E479" t="s">
        <v>85</v>
      </c>
      <c r="F479" t="s">
        <v>104</v>
      </c>
      <c r="G479" t="s">
        <v>77</v>
      </c>
      <c r="H479" t="s">
        <v>194</v>
      </c>
      <c r="I479" t="s">
        <v>195</v>
      </c>
      <c r="J479" t="s">
        <v>55</v>
      </c>
      <c r="K479" t="s">
        <v>80</v>
      </c>
      <c r="L479" t="s">
        <v>1547</v>
      </c>
      <c r="M479" t="s">
        <v>73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46</v>
      </c>
      <c r="U479" t="s">
        <v>82</v>
      </c>
      <c r="V479" t="str">
        <f t="shared" si="69"/>
        <v>Valid</v>
      </c>
      <c r="W479">
        <f t="shared" si="70"/>
        <v>5</v>
      </c>
      <c r="Y479" t="str">
        <f t="shared" si="71"/>
        <v>OK</v>
      </c>
      <c r="Z479" t="str">
        <f t="shared" si="72"/>
        <v>OK</v>
      </c>
      <c r="AA479" t="str">
        <f t="shared" si="73"/>
        <v>OK</v>
      </c>
      <c r="AB479" t="str">
        <f t="shared" si="74"/>
        <v>Valid</v>
      </c>
      <c r="AC479" t="str">
        <f>IF(OR(AB479="Invalid Discount",V479="Invalid Shipping"),
"Invalid",
IF(OR(Y479="Missing Region",
Z479="Missing Ship Mode",
AA479="Missing Discount",
X479="Flagged for Review"),
"Warning",
"Clean"))</f>
        <v>Clean</v>
      </c>
      <c r="AD479">
        <f t="shared" si="75"/>
        <v>0.1</v>
      </c>
      <c r="AE479">
        <f>N479*O479*(1-AD479)</f>
        <v>11843.442000000001</v>
      </c>
      <c r="AF479">
        <f>AE479-R479</f>
        <v>2486.5620000000017</v>
      </c>
      <c r="AG479" s="3">
        <f t="shared" si="76"/>
        <v>0.20995264721184953</v>
      </c>
      <c r="AH479" t="str">
        <f t="shared" si="77"/>
        <v>August</v>
      </c>
      <c r="AI479">
        <f t="shared" si="78"/>
        <v>2025</v>
      </c>
    </row>
    <row r="480" spans="1:35">
      <c r="A480" t="s">
        <v>1548</v>
      </c>
      <c r="B480" s="2">
        <v>45452</v>
      </c>
      <c r="C480" s="2">
        <v>45456</v>
      </c>
      <c r="D480" t="s">
        <v>1549</v>
      </c>
      <c r="E480" t="s">
        <v>50</v>
      </c>
      <c r="F480" t="s">
        <v>109</v>
      </c>
      <c r="G480" t="s">
        <v>219</v>
      </c>
      <c r="H480" t="s">
        <v>150</v>
      </c>
      <c r="I480" t="s">
        <v>151</v>
      </c>
      <c r="J480" t="s">
        <v>88</v>
      </c>
      <c r="K480" t="s">
        <v>289</v>
      </c>
      <c r="L480" t="s">
        <v>1550</v>
      </c>
      <c r="M480" t="s">
        <v>58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116</v>
      </c>
      <c r="U480" t="s">
        <v>117</v>
      </c>
      <c r="V480" t="str">
        <f t="shared" si="69"/>
        <v>Valid</v>
      </c>
      <c r="W480">
        <f t="shared" si="70"/>
        <v>4</v>
      </c>
      <c r="Y480" t="str">
        <f t="shared" si="71"/>
        <v>Missing Region</v>
      </c>
      <c r="Z480" t="str">
        <f t="shared" si="72"/>
        <v>OK</v>
      </c>
      <c r="AA480" t="str">
        <f t="shared" si="73"/>
        <v>OK</v>
      </c>
      <c r="AB480" t="str">
        <f t="shared" si="74"/>
        <v>Valid</v>
      </c>
      <c r="AC480" t="str">
        <f>IF(OR(AB480="Invalid Discount",V480="Invalid Shipping"),
"Invalid",
IF(OR(Y480="Missing Region",
Z480="Missing Ship Mode",
AA480="Missing Discount",
X480="Flagged for Review"),
"Warning",
"Clean"))</f>
        <v>Warning</v>
      </c>
      <c r="AD480">
        <f t="shared" si="75"/>
        <v>0.1</v>
      </c>
      <c r="AE480">
        <f>N480*O480*(1-AD480)</f>
        <v>25702.173000000003</v>
      </c>
      <c r="AF480">
        <f>AE480-R480</f>
        <v>11130.693000000003</v>
      </c>
      <c r="AG480" s="3">
        <f t="shared" si="76"/>
        <v>0.43306427826160854</v>
      </c>
      <c r="AH480" t="str">
        <f t="shared" si="77"/>
        <v>June</v>
      </c>
      <c r="AI480">
        <f t="shared" si="78"/>
        <v>2024</v>
      </c>
    </row>
    <row r="481" spans="1:35">
      <c r="A481" t="s">
        <v>1551</v>
      </c>
      <c r="B481" s="2">
        <v>45345</v>
      </c>
      <c r="C481" s="2">
        <v>45342</v>
      </c>
      <c r="D481" t="s">
        <v>1552</v>
      </c>
      <c r="E481" t="s">
        <v>67</v>
      </c>
      <c r="F481" t="s">
        <v>104</v>
      </c>
      <c r="G481" t="s">
        <v>52</v>
      </c>
      <c r="H481" t="s">
        <v>53</v>
      </c>
      <c r="I481" t="s">
        <v>54</v>
      </c>
      <c r="J481" t="s">
        <v>55</v>
      </c>
      <c r="K481" t="s">
        <v>80</v>
      </c>
      <c r="L481" t="s">
        <v>1553</v>
      </c>
      <c r="M481" t="s">
        <v>45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46</v>
      </c>
      <c r="U481" t="s">
        <v>47</v>
      </c>
      <c r="V481" t="str">
        <f t="shared" si="69"/>
        <v>Invalid Shipping</v>
      </c>
      <c r="W481">
        <f t="shared" si="70"/>
        <v>-3</v>
      </c>
      <c r="Y481" t="str">
        <f t="shared" si="71"/>
        <v>OK</v>
      </c>
      <c r="Z481" t="str">
        <f t="shared" si="72"/>
        <v>OK</v>
      </c>
      <c r="AA481" t="str">
        <f t="shared" si="73"/>
        <v>Missing Discount</v>
      </c>
      <c r="AB481" t="str">
        <f t="shared" si="74"/>
        <v>Valid</v>
      </c>
      <c r="AC481" t="str">
        <f>IF(OR(AB481="Invalid Discount",V481="Invalid Shipping"),
"Invalid",
IF(OR(Y481="Missing Region",
Z481="Missing Ship Mode",
AA481="Missing Discount",
X481="Flagged for Review"),
"Warning",
"Clean"))</f>
        <v>Invalid</v>
      </c>
      <c r="AD481">
        <f t="shared" si="75"/>
        <v>0</v>
      </c>
      <c r="AE481">
        <f>N481*O481*(1-AD481)</f>
        <v>2202.5500000000002</v>
      </c>
      <c r="AF481">
        <f>AE481-R481</f>
        <v>1167.9800000000002</v>
      </c>
      <c r="AG481" s="3">
        <f t="shared" si="76"/>
        <v>0.53028535107035035</v>
      </c>
      <c r="AH481" t="str">
        <f t="shared" si="77"/>
        <v>February</v>
      </c>
      <c r="AI481">
        <f t="shared" si="78"/>
        <v>2024</v>
      </c>
    </row>
    <row r="482" spans="1:35">
      <c r="A482" t="s">
        <v>1554</v>
      </c>
      <c r="B482" s="2">
        <v>45662</v>
      </c>
      <c r="C482" s="2">
        <v>45666</v>
      </c>
      <c r="D482" t="s">
        <v>1555</v>
      </c>
      <c r="E482" t="s">
        <v>93</v>
      </c>
      <c r="F482" t="s">
        <v>51</v>
      </c>
      <c r="G482" t="s">
        <v>68</v>
      </c>
      <c r="H482" t="s">
        <v>262</v>
      </c>
      <c r="I482" t="s">
        <v>263</v>
      </c>
      <c r="J482" t="s">
        <v>42</v>
      </c>
      <c r="K482" t="s">
        <v>138</v>
      </c>
      <c r="L482" t="s">
        <v>1556</v>
      </c>
      <c r="M482" t="s">
        <v>219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46</v>
      </c>
      <c r="U482" t="s">
        <v>47</v>
      </c>
      <c r="V482" t="str">
        <f t="shared" si="69"/>
        <v>Valid</v>
      </c>
      <c r="W482">
        <f t="shared" si="70"/>
        <v>4</v>
      </c>
      <c r="Y482" t="str">
        <f t="shared" si="71"/>
        <v>OK</v>
      </c>
      <c r="Z482" t="str">
        <f t="shared" si="72"/>
        <v>Missing Ship Mode</v>
      </c>
      <c r="AA482" t="str">
        <f t="shared" si="73"/>
        <v>OK</v>
      </c>
      <c r="AB482" t="str">
        <f t="shared" si="74"/>
        <v>Valid</v>
      </c>
      <c r="AC482" t="str">
        <f>IF(OR(AB482="Invalid Discount",V482="Invalid Shipping"),
"Invalid",
IF(OR(Y482="Missing Region",
Z482="Missing Ship Mode",
AA482="Missing Discount",
X482="Flagged for Review"),
"Warning",
"Clean"))</f>
        <v>Warning</v>
      </c>
      <c r="AD482">
        <f t="shared" si="75"/>
        <v>0</v>
      </c>
      <c r="AE482">
        <f>N482*O482*(1-AD482)</f>
        <v>4525.8</v>
      </c>
      <c r="AF482">
        <f>AE482-R482</f>
        <v>1811.29</v>
      </c>
      <c r="AG482" s="3">
        <f t="shared" si="76"/>
        <v>0.40021432674886204</v>
      </c>
      <c r="AH482" t="str">
        <f t="shared" si="77"/>
        <v>January</v>
      </c>
      <c r="AI482">
        <f t="shared" si="78"/>
        <v>2025</v>
      </c>
    </row>
    <row r="483" spans="1:35">
      <c r="A483" t="s">
        <v>1557</v>
      </c>
      <c r="B483" s="2">
        <v>45813</v>
      </c>
      <c r="C483" s="2">
        <v>45821</v>
      </c>
      <c r="D483" t="s">
        <v>1558</v>
      </c>
      <c r="E483" t="s">
        <v>61</v>
      </c>
      <c r="F483" t="s">
        <v>38</v>
      </c>
      <c r="G483" t="s">
        <v>39</v>
      </c>
      <c r="H483" t="s">
        <v>150</v>
      </c>
      <c r="I483" t="s">
        <v>151</v>
      </c>
      <c r="J483" t="s">
        <v>88</v>
      </c>
      <c r="K483" t="s">
        <v>289</v>
      </c>
      <c r="L483" t="s">
        <v>1559</v>
      </c>
      <c r="M483" t="s">
        <v>58</v>
      </c>
      <c r="N483">
        <v>4</v>
      </c>
      <c r="O483">
        <v>2793.88</v>
      </c>
      <c r="P483">
        <v>0.85</v>
      </c>
      <c r="Q483">
        <v>10616.74</v>
      </c>
      <c r="R483">
        <v>6353.59</v>
      </c>
      <c r="S483">
        <v>4263.1499999999996</v>
      </c>
      <c r="T483" t="s">
        <v>46</v>
      </c>
      <c r="U483" t="s">
        <v>47</v>
      </c>
      <c r="V483" t="str">
        <f t="shared" si="69"/>
        <v>Valid</v>
      </c>
      <c r="W483">
        <f t="shared" si="70"/>
        <v>8</v>
      </c>
      <c r="Y483" t="str">
        <f t="shared" si="71"/>
        <v>OK</v>
      </c>
      <c r="Z483" t="str">
        <f t="shared" si="72"/>
        <v>OK</v>
      </c>
      <c r="AA483" t="str">
        <f t="shared" si="73"/>
        <v>OK</v>
      </c>
      <c r="AB483" t="str">
        <f t="shared" si="74"/>
        <v>Valid</v>
      </c>
      <c r="AC483" t="str">
        <f>IF(OR(AB483="Invalid Discount",V483="Invalid Shipping"),
"Invalid",
IF(OR(Y483="Missing Region",
Z483="Missing Ship Mode",
AA483="Missing Discount",
X483="Flagged for Review"),
"Warning",
"Clean"))</f>
        <v>Clean</v>
      </c>
      <c r="AD483">
        <v>0.85</v>
      </c>
      <c r="AE483">
        <f>N483*O483*(1-AD483)</f>
        <v>1676.3280000000002</v>
      </c>
      <c r="AF483">
        <f>AE483-R483</f>
        <v>-4677.2619999999997</v>
      </c>
      <c r="AG483" s="3">
        <f t="shared" si="76"/>
        <v>-2.7901830667983827</v>
      </c>
      <c r="AH483" t="str">
        <f t="shared" si="77"/>
        <v>June</v>
      </c>
      <c r="AI483">
        <f t="shared" si="78"/>
        <v>2025</v>
      </c>
    </row>
    <row r="484" spans="1:35">
      <c r="A484" t="s">
        <v>1560</v>
      </c>
      <c r="B484" s="2">
        <v>45495</v>
      </c>
      <c r="C484" s="2">
        <v>45495</v>
      </c>
      <c r="D484" t="s">
        <v>1561</v>
      </c>
      <c r="E484" t="s">
        <v>128</v>
      </c>
      <c r="F484" t="s">
        <v>38</v>
      </c>
      <c r="G484" t="s">
        <v>68</v>
      </c>
      <c r="H484" t="s">
        <v>189</v>
      </c>
      <c r="I484" t="s">
        <v>190</v>
      </c>
      <c r="J484" t="s">
        <v>88</v>
      </c>
      <c r="K484" t="s">
        <v>89</v>
      </c>
      <c r="L484" t="s">
        <v>1562</v>
      </c>
      <c r="M484" t="s">
        <v>45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46</v>
      </c>
      <c r="U484" t="s">
        <v>47</v>
      </c>
      <c r="V484" t="str">
        <f t="shared" si="69"/>
        <v>Valid</v>
      </c>
      <c r="W484">
        <f t="shared" si="70"/>
        <v>0</v>
      </c>
      <c r="Y484" t="str">
        <f t="shared" si="71"/>
        <v>OK</v>
      </c>
      <c r="Z484" t="str">
        <f t="shared" si="72"/>
        <v>OK</v>
      </c>
      <c r="AA484" t="str">
        <f t="shared" si="73"/>
        <v>OK</v>
      </c>
      <c r="AB484" t="str">
        <f t="shared" si="74"/>
        <v>Valid</v>
      </c>
      <c r="AC484" t="str">
        <f>IF(OR(AB484="Invalid Discount",V484="Invalid Shipping"),
"Invalid",
IF(OR(Y484="Missing Region",
Z484="Missing Ship Mode",
AA484="Missing Discount",
X484="Flagged for Review"),
"Warning",
"Clean"))</f>
        <v>Clean</v>
      </c>
      <c r="AD484">
        <f t="shared" si="75"/>
        <v>0.25</v>
      </c>
      <c r="AE484">
        <f>N484*O484*(1-AD484)</f>
        <v>2893.9949999999999</v>
      </c>
      <c r="AF484">
        <f>AE484-R484</f>
        <v>1037.9649999999999</v>
      </c>
      <c r="AG484" s="3">
        <f t="shared" si="76"/>
        <v>0.35866164247001114</v>
      </c>
      <c r="AH484" t="str">
        <f t="shared" si="77"/>
        <v>July</v>
      </c>
      <c r="AI484">
        <f t="shared" si="78"/>
        <v>2024</v>
      </c>
    </row>
    <row r="485" spans="1:35">
      <c r="A485" t="s">
        <v>1563</v>
      </c>
      <c r="B485" s="2">
        <v>45651</v>
      </c>
      <c r="C485" s="2">
        <v>45651</v>
      </c>
      <c r="D485" t="s">
        <v>1564</v>
      </c>
      <c r="E485" t="s">
        <v>50</v>
      </c>
      <c r="F485" t="s">
        <v>104</v>
      </c>
      <c r="G485" t="s">
        <v>52</v>
      </c>
      <c r="H485" t="s">
        <v>159</v>
      </c>
      <c r="I485" t="s">
        <v>160</v>
      </c>
      <c r="J485" t="s">
        <v>88</v>
      </c>
      <c r="K485" t="s">
        <v>94</v>
      </c>
      <c r="L485" t="s">
        <v>1565</v>
      </c>
      <c r="M485" t="s">
        <v>73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46</v>
      </c>
      <c r="U485" t="s">
        <v>47</v>
      </c>
      <c r="V485" t="str">
        <f t="shared" si="69"/>
        <v>Valid</v>
      </c>
      <c r="W485">
        <f t="shared" si="70"/>
        <v>0</v>
      </c>
      <c r="Y485" t="str">
        <f t="shared" si="71"/>
        <v>OK</v>
      </c>
      <c r="Z485" t="str">
        <f t="shared" si="72"/>
        <v>OK</v>
      </c>
      <c r="AA485" t="str">
        <f t="shared" si="73"/>
        <v>OK</v>
      </c>
      <c r="AB485" t="str">
        <f t="shared" si="74"/>
        <v>Valid</v>
      </c>
      <c r="AC485" t="str">
        <f>IF(OR(AB485="Invalid Discount",V485="Invalid Shipping"),
"Invalid",
IF(OR(Y485="Missing Region",
Z485="Missing Ship Mode",
AA485="Missing Discount",
X485="Flagged for Review"),
"Warning",
"Clean"))</f>
        <v>Clean</v>
      </c>
      <c r="AD485">
        <f t="shared" si="75"/>
        <v>0.15</v>
      </c>
      <c r="AE485">
        <f>N485*O485*(1-AD485)</f>
        <v>705.2109999999999</v>
      </c>
      <c r="AF485">
        <f>AE485-R485</f>
        <v>266.89099999999991</v>
      </c>
      <c r="AG485" s="3">
        <f t="shared" si="76"/>
        <v>0.37845552607659261</v>
      </c>
      <c r="AH485" t="str">
        <f t="shared" si="77"/>
        <v>December</v>
      </c>
      <c r="AI485">
        <f t="shared" si="78"/>
        <v>2024</v>
      </c>
    </row>
    <row r="486" spans="1:35">
      <c r="A486" t="s">
        <v>1566</v>
      </c>
      <c r="B486" s="2">
        <v>45654</v>
      </c>
      <c r="C486" s="2">
        <v>45657</v>
      </c>
      <c r="D486" t="s">
        <v>1567</v>
      </c>
      <c r="E486" t="s">
        <v>50</v>
      </c>
      <c r="F486" t="s">
        <v>51</v>
      </c>
      <c r="G486" t="s">
        <v>68</v>
      </c>
      <c r="H486" t="s">
        <v>98</v>
      </c>
      <c r="I486" t="s">
        <v>99</v>
      </c>
      <c r="J486" t="s">
        <v>55</v>
      </c>
      <c r="K486" t="s">
        <v>71</v>
      </c>
      <c r="L486" t="s">
        <v>1568</v>
      </c>
      <c r="M486" t="s">
        <v>64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46</v>
      </c>
      <c r="U486" t="s">
        <v>47</v>
      </c>
      <c r="V486" t="str">
        <f t="shared" si="69"/>
        <v>Valid</v>
      </c>
      <c r="W486">
        <f t="shared" si="70"/>
        <v>3</v>
      </c>
      <c r="Y486" t="str">
        <f t="shared" si="71"/>
        <v>OK</v>
      </c>
      <c r="Z486" t="str">
        <f t="shared" si="72"/>
        <v>OK</v>
      </c>
      <c r="AA486" t="str">
        <f t="shared" si="73"/>
        <v>OK</v>
      </c>
      <c r="AB486" t="str">
        <f t="shared" si="74"/>
        <v>Valid</v>
      </c>
      <c r="AC486" t="str">
        <f>IF(OR(AB486="Invalid Discount",V486="Invalid Shipping"),
"Invalid",
IF(OR(Y486="Missing Region",
Z486="Missing Ship Mode",
AA486="Missing Discount",
X486="Flagged for Review"),
"Warning",
"Clean"))</f>
        <v>Clean</v>
      </c>
      <c r="AD486">
        <f t="shared" si="75"/>
        <v>0.25</v>
      </c>
      <c r="AE486">
        <f>N486*O486*(1-AD486)</f>
        <v>16385.489999999998</v>
      </c>
      <c r="AF486">
        <f>AE486-R486</f>
        <v>2706.2499999999982</v>
      </c>
      <c r="AG486" s="3">
        <f t="shared" si="76"/>
        <v>0.16516137143289572</v>
      </c>
      <c r="AH486" t="str">
        <f t="shared" si="77"/>
        <v>December</v>
      </c>
      <c r="AI486">
        <f t="shared" si="78"/>
        <v>2024</v>
      </c>
    </row>
    <row r="487" spans="1:35">
      <c r="A487" t="s">
        <v>1569</v>
      </c>
      <c r="B487" s="2">
        <v>45679</v>
      </c>
      <c r="C487" s="2">
        <v>45680</v>
      </c>
      <c r="D487" t="s">
        <v>1570</v>
      </c>
      <c r="E487" t="s">
        <v>132</v>
      </c>
      <c r="F487" t="s">
        <v>104</v>
      </c>
      <c r="G487" t="s">
        <v>77</v>
      </c>
      <c r="H487" t="s">
        <v>204</v>
      </c>
      <c r="I487" t="s">
        <v>205</v>
      </c>
      <c r="J487" t="s">
        <v>55</v>
      </c>
      <c r="K487" t="s">
        <v>172</v>
      </c>
      <c r="L487" t="s">
        <v>1571</v>
      </c>
      <c r="M487" t="s">
        <v>73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46</v>
      </c>
      <c r="U487" t="s">
        <v>47</v>
      </c>
      <c r="V487" t="str">
        <f t="shared" si="69"/>
        <v>Valid</v>
      </c>
      <c r="W487">
        <f t="shared" si="70"/>
        <v>1</v>
      </c>
      <c r="Y487" t="str">
        <f t="shared" si="71"/>
        <v>OK</v>
      </c>
      <c r="Z487" t="str">
        <f t="shared" si="72"/>
        <v>OK</v>
      </c>
      <c r="AA487" t="str">
        <f t="shared" si="73"/>
        <v>OK</v>
      </c>
      <c r="AB487" t="str">
        <f t="shared" si="74"/>
        <v>Valid</v>
      </c>
      <c r="AC487" t="str">
        <f>IF(OR(AB487="Invalid Discount",V487="Invalid Shipping"),
"Invalid",
IF(OR(Y487="Missing Region",
Z487="Missing Ship Mode",
AA487="Missing Discount",
X487="Flagged for Review"),
"Warning",
"Clean"))</f>
        <v>Clean</v>
      </c>
      <c r="AD487">
        <f t="shared" si="75"/>
        <v>0.25</v>
      </c>
      <c r="AE487">
        <f>N487*O487*(1-AD487)</f>
        <v>7665.57</v>
      </c>
      <c r="AF487">
        <f>AE487-R487</f>
        <v>2069.9699999999993</v>
      </c>
      <c r="AG487" s="3">
        <f t="shared" si="76"/>
        <v>0.27003471366121495</v>
      </c>
      <c r="AH487" t="str">
        <f t="shared" si="77"/>
        <v>January</v>
      </c>
      <c r="AI487">
        <f t="shared" si="78"/>
        <v>2025</v>
      </c>
    </row>
    <row r="488" spans="1:35">
      <c r="A488" t="s">
        <v>1572</v>
      </c>
      <c r="B488" s="2">
        <v>45830</v>
      </c>
      <c r="C488" s="2">
        <v>45834</v>
      </c>
      <c r="D488" t="s">
        <v>1573</v>
      </c>
      <c r="E488" t="s">
        <v>132</v>
      </c>
      <c r="F488" t="s">
        <v>104</v>
      </c>
      <c r="G488" t="s">
        <v>77</v>
      </c>
      <c r="H488" t="s">
        <v>204</v>
      </c>
      <c r="I488" t="s">
        <v>205</v>
      </c>
      <c r="J488" t="s">
        <v>55</v>
      </c>
      <c r="K488" t="s">
        <v>56</v>
      </c>
      <c r="L488" t="s">
        <v>1574</v>
      </c>
      <c r="M488" t="s">
        <v>73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46</v>
      </c>
      <c r="U488" t="s">
        <v>47</v>
      </c>
      <c r="V488" t="str">
        <f t="shared" si="69"/>
        <v>Valid</v>
      </c>
      <c r="W488">
        <f t="shared" si="70"/>
        <v>4</v>
      </c>
      <c r="Y488" t="str">
        <f t="shared" si="71"/>
        <v>OK</v>
      </c>
      <c r="Z488" t="str">
        <f t="shared" si="72"/>
        <v>OK</v>
      </c>
      <c r="AA488" t="str">
        <f t="shared" si="73"/>
        <v>OK</v>
      </c>
      <c r="AB488" t="str">
        <f t="shared" si="74"/>
        <v>Valid</v>
      </c>
      <c r="AC488" t="str">
        <f>IF(OR(AB488="Invalid Discount",V488="Invalid Shipping"),
"Invalid",
IF(OR(Y488="Missing Region",
Z488="Missing Ship Mode",
AA488="Missing Discount",
X488="Flagged for Review"),
"Warning",
"Clean"))</f>
        <v>Clean</v>
      </c>
      <c r="AD488">
        <f t="shared" si="75"/>
        <v>0.2</v>
      </c>
      <c r="AE488">
        <f>N488*O488*(1-AD488)</f>
        <v>4670.8320000000003</v>
      </c>
      <c r="AF488">
        <f>AE488-R488</f>
        <v>1504.3420000000006</v>
      </c>
      <c r="AG488" s="3">
        <f t="shared" si="76"/>
        <v>0.3220715281560117</v>
      </c>
      <c r="AH488" t="str">
        <f t="shared" si="77"/>
        <v>June</v>
      </c>
      <c r="AI488">
        <f t="shared" si="78"/>
        <v>2025</v>
      </c>
    </row>
    <row r="489" spans="1:35">
      <c r="A489" t="s">
        <v>1575</v>
      </c>
      <c r="B489" s="2">
        <v>45818</v>
      </c>
      <c r="C489" s="2">
        <v>45825</v>
      </c>
      <c r="D489" t="s">
        <v>1576</v>
      </c>
      <c r="E489" t="s">
        <v>132</v>
      </c>
      <c r="F489" t="s">
        <v>104</v>
      </c>
      <c r="G489" t="s">
        <v>68</v>
      </c>
      <c r="H489" t="s">
        <v>69</v>
      </c>
      <c r="I489" t="s">
        <v>70</v>
      </c>
      <c r="J489" t="s">
        <v>55</v>
      </c>
      <c r="K489" t="s">
        <v>71</v>
      </c>
      <c r="L489" t="s">
        <v>1577</v>
      </c>
      <c r="M489" t="s">
        <v>73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116</v>
      </c>
      <c r="U489" t="s">
        <v>117</v>
      </c>
      <c r="V489" t="str">
        <f t="shared" si="69"/>
        <v>Valid</v>
      </c>
      <c r="W489">
        <f t="shared" si="70"/>
        <v>7</v>
      </c>
      <c r="Y489" t="str">
        <f t="shared" si="71"/>
        <v>OK</v>
      </c>
      <c r="Z489" t="str">
        <f t="shared" si="72"/>
        <v>OK</v>
      </c>
      <c r="AA489" t="str">
        <f t="shared" si="73"/>
        <v>OK</v>
      </c>
      <c r="AB489" t="str">
        <f t="shared" si="74"/>
        <v>Valid</v>
      </c>
      <c r="AC489" t="str">
        <f>IF(OR(AB489="Invalid Discount",V489="Invalid Shipping"),
"Invalid",
IF(OR(Y489="Missing Region",
Z489="Missing Ship Mode",
AA489="Missing Discount",
X489="Flagged for Review"),
"Warning",
"Clean"))</f>
        <v>Clean</v>
      </c>
      <c r="AD489">
        <f t="shared" si="75"/>
        <v>0</v>
      </c>
      <c r="AE489">
        <f>N489*O489*(1-AD489)</f>
        <v>6155.5</v>
      </c>
      <c r="AF489">
        <f>AE489-R489</f>
        <v>1873.4099999999999</v>
      </c>
      <c r="AG489" s="3">
        <f t="shared" si="76"/>
        <v>0.3043473316546178</v>
      </c>
      <c r="AH489" t="str">
        <f t="shared" si="77"/>
        <v>June</v>
      </c>
      <c r="AI489">
        <f t="shared" si="78"/>
        <v>2025</v>
      </c>
    </row>
    <row r="490" spans="1:35">
      <c r="A490" t="s">
        <v>1578</v>
      </c>
      <c r="B490" s="2">
        <v>45579</v>
      </c>
      <c r="C490" s="2">
        <v>45585</v>
      </c>
      <c r="D490" t="s">
        <v>1579</v>
      </c>
      <c r="E490" t="s">
        <v>103</v>
      </c>
      <c r="F490" t="s">
        <v>51</v>
      </c>
      <c r="G490" t="s">
        <v>39</v>
      </c>
      <c r="H490" t="s">
        <v>40</v>
      </c>
      <c r="I490" t="s">
        <v>41</v>
      </c>
      <c r="J490" t="s">
        <v>55</v>
      </c>
      <c r="K490" t="s">
        <v>56</v>
      </c>
      <c r="L490" t="s">
        <v>1580</v>
      </c>
      <c r="M490" t="s">
        <v>58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46</v>
      </c>
      <c r="U490" t="s">
        <v>47</v>
      </c>
      <c r="V490" t="str">
        <f t="shared" si="69"/>
        <v>Valid</v>
      </c>
      <c r="W490">
        <f t="shared" si="70"/>
        <v>6</v>
      </c>
      <c r="Y490" t="str">
        <f t="shared" si="71"/>
        <v>OK</v>
      </c>
      <c r="Z490" t="str">
        <f t="shared" si="72"/>
        <v>OK</v>
      </c>
      <c r="AA490" t="str">
        <f t="shared" si="73"/>
        <v>OK</v>
      </c>
      <c r="AB490" t="str">
        <f t="shared" si="74"/>
        <v>Valid</v>
      </c>
      <c r="AC490" t="str">
        <f>IF(OR(AB490="Invalid Discount",V490="Invalid Shipping"),
"Invalid",
IF(OR(Y490="Missing Region",
Z490="Missing Ship Mode",
AA490="Missing Discount",
X490="Flagged for Review"),
"Warning",
"Clean"))</f>
        <v>Clean</v>
      </c>
      <c r="AD490">
        <f t="shared" si="75"/>
        <v>0.2</v>
      </c>
      <c r="AE490">
        <f>N490*O490*(1-AD490)</f>
        <v>8666.56</v>
      </c>
      <c r="AF490">
        <f>AE490-R490</f>
        <v>2699.12</v>
      </c>
      <c r="AG490" s="3">
        <f t="shared" si="76"/>
        <v>0.31144075619392242</v>
      </c>
      <c r="AH490" t="str">
        <f t="shared" si="77"/>
        <v>October</v>
      </c>
      <c r="AI490">
        <f t="shared" si="78"/>
        <v>2024</v>
      </c>
    </row>
    <row r="491" spans="1:35">
      <c r="A491" t="s">
        <v>1581</v>
      </c>
      <c r="B491" s="2">
        <v>45329</v>
      </c>
      <c r="C491" s="2">
        <v>45334</v>
      </c>
      <c r="D491" t="s">
        <v>1582</v>
      </c>
      <c r="E491" t="s">
        <v>67</v>
      </c>
      <c r="F491" t="s">
        <v>109</v>
      </c>
      <c r="G491" t="s">
        <v>52</v>
      </c>
      <c r="H491" t="s">
        <v>113</v>
      </c>
      <c r="I491" t="s">
        <v>114</v>
      </c>
      <c r="J491" t="s">
        <v>88</v>
      </c>
      <c r="K491" t="s">
        <v>89</v>
      </c>
      <c r="L491" t="s">
        <v>1583</v>
      </c>
      <c r="M491" t="s">
        <v>45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46</v>
      </c>
      <c r="U491" t="s">
        <v>47</v>
      </c>
      <c r="V491" t="str">
        <f t="shared" si="69"/>
        <v>Valid</v>
      </c>
      <c r="W491">
        <f t="shared" si="70"/>
        <v>5</v>
      </c>
      <c r="Y491" t="str">
        <f t="shared" si="71"/>
        <v>OK</v>
      </c>
      <c r="Z491" t="str">
        <f t="shared" si="72"/>
        <v>OK</v>
      </c>
      <c r="AA491" t="str">
        <f t="shared" si="73"/>
        <v>OK</v>
      </c>
      <c r="AB491" t="str">
        <f t="shared" si="74"/>
        <v>Valid</v>
      </c>
      <c r="AC491" t="str">
        <f>IF(OR(AB491="Invalid Discount",V491="Invalid Shipping"),
"Invalid",
IF(OR(Y491="Missing Region",
Z491="Missing Ship Mode",
AA491="Missing Discount",
X491="Flagged for Review"),
"Warning",
"Clean"))</f>
        <v>Clean</v>
      </c>
      <c r="AD491">
        <f t="shared" si="75"/>
        <v>0.2</v>
      </c>
      <c r="AE491">
        <f>N491*O491*(1-AD491)</f>
        <v>361.75200000000001</v>
      </c>
      <c r="AF491">
        <f>AE491-R491</f>
        <v>99.222000000000037</v>
      </c>
      <c r="AG491" s="3">
        <f t="shared" si="76"/>
        <v>0.27428182843495003</v>
      </c>
      <c r="AH491" t="str">
        <f t="shared" si="77"/>
        <v>February</v>
      </c>
      <c r="AI491">
        <f t="shared" si="78"/>
        <v>2024</v>
      </c>
    </row>
    <row r="492" spans="1:35">
      <c r="A492" t="s">
        <v>1584</v>
      </c>
      <c r="B492" s="2">
        <v>45551</v>
      </c>
      <c r="C492" s="2">
        <v>45554</v>
      </c>
      <c r="D492" t="s">
        <v>1585</v>
      </c>
      <c r="E492" t="s">
        <v>103</v>
      </c>
      <c r="F492" t="s">
        <v>38</v>
      </c>
      <c r="G492" t="s">
        <v>77</v>
      </c>
      <c r="H492" t="s">
        <v>40</v>
      </c>
      <c r="I492" t="s">
        <v>123</v>
      </c>
      <c r="J492" t="s">
        <v>42</v>
      </c>
      <c r="K492" t="s">
        <v>167</v>
      </c>
      <c r="L492" t="s">
        <v>1586</v>
      </c>
      <c r="M492" t="s">
        <v>64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46</v>
      </c>
      <c r="U492" t="s">
        <v>47</v>
      </c>
      <c r="V492" t="str">
        <f t="shared" si="69"/>
        <v>Valid</v>
      </c>
      <c r="W492">
        <f t="shared" si="70"/>
        <v>3</v>
      </c>
      <c r="Y492" t="str">
        <f t="shared" si="71"/>
        <v>OK</v>
      </c>
      <c r="Z492" t="str">
        <f t="shared" si="72"/>
        <v>OK</v>
      </c>
      <c r="AA492" t="str">
        <f t="shared" si="73"/>
        <v>OK</v>
      </c>
      <c r="AB492" t="str">
        <f t="shared" si="74"/>
        <v>Valid</v>
      </c>
      <c r="AC492" t="str">
        <f>IF(OR(AB492="Invalid Discount",V492="Invalid Shipping"),
"Invalid",
IF(OR(Y492="Missing Region",
Z492="Missing Ship Mode",
AA492="Missing Discount",
X492="Flagged for Review"),
"Warning",
"Clean"))</f>
        <v>Clean</v>
      </c>
      <c r="AD492">
        <f t="shared" si="75"/>
        <v>0.15</v>
      </c>
      <c r="AE492">
        <f>N492*O492*(1-AD492)</f>
        <v>2418.1990000000001</v>
      </c>
      <c r="AF492">
        <f>AE492-R492</f>
        <v>804.37900000000013</v>
      </c>
      <c r="AG492" s="3">
        <f t="shared" si="76"/>
        <v>0.33263556886757462</v>
      </c>
      <c r="AH492" t="str">
        <f t="shared" si="77"/>
        <v>September</v>
      </c>
      <c r="AI492">
        <f t="shared" si="78"/>
        <v>2024</v>
      </c>
    </row>
    <row r="493" spans="1:35">
      <c r="A493" t="s">
        <v>1587</v>
      </c>
      <c r="B493" s="2">
        <v>45776</v>
      </c>
      <c r="C493" s="2">
        <v>45777</v>
      </c>
      <c r="D493" t="s">
        <v>1588</v>
      </c>
      <c r="E493" t="s">
        <v>50</v>
      </c>
      <c r="F493" t="s">
        <v>104</v>
      </c>
      <c r="G493" t="s">
        <v>68</v>
      </c>
      <c r="H493" t="s">
        <v>199</v>
      </c>
      <c r="I493" t="s">
        <v>200</v>
      </c>
      <c r="J493" t="s">
        <v>88</v>
      </c>
      <c r="K493" t="s">
        <v>89</v>
      </c>
      <c r="L493" t="s">
        <v>1589</v>
      </c>
      <c r="M493" t="s">
        <v>73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46</v>
      </c>
      <c r="U493" t="s">
        <v>47</v>
      </c>
      <c r="V493" t="str">
        <f t="shared" si="69"/>
        <v>Valid</v>
      </c>
      <c r="W493">
        <f t="shared" si="70"/>
        <v>1</v>
      </c>
      <c r="Y493" t="str">
        <f t="shared" si="71"/>
        <v>OK</v>
      </c>
      <c r="Z493" t="str">
        <f t="shared" si="72"/>
        <v>OK</v>
      </c>
      <c r="AA493" t="str">
        <f t="shared" si="73"/>
        <v>OK</v>
      </c>
      <c r="AB493" t="str">
        <f t="shared" si="74"/>
        <v>Valid</v>
      </c>
      <c r="AC493" t="str">
        <f>IF(OR(AB493="Invalid Discount",V493="Invalid Shipping"),
"Invalid",
IF(OR(Y493="Missing Region",
Z493="Missing Ship Mode",
AA493="Missing Discount",
X493="Flagged for Review"),
"Warning",
"Clean"))</f>
        <v>Clean</v>
      </c>
      <c r="AD493">
        <f t="shared" si="75"/>
        <v>0.2</v>
      </c>
      <c r="AE493">
        <f>N493*O493*(1-AD493)</f>
        <v>1941.0560000000003</v>
      </c>
      <c r="AF493">
        <f>AE493-R493</f>
        <v>733.63600000000019</v>
      </c>
      <c r="AG493" s="3">
        <f t="shared" si="76"/>
        <v>0.37795715321969076</v>
      </c>
      <c r="AH493" t="str">
        <f t="shared" si="77"/>
        <v>April</v>
      </c>
      <c r="AI493">
        <f t="shared" si="78"/>
        <v>2025</v>
      </c>
    </row>
    <row r="494" spans="1:35">
      <c r="A494" t="s">
        <v>1590</v>
      </c>
      <c r="B494" s="2">
        <v>45836</v>
      </c>
      <c r="C494" s="2">
        <v>45840</v>
      </c>
      <c r="D494" t="s">
        <v>1591</v>
      </c>
      <c r="E494" t="s">
        <v>76</v>
      </c>
      <c r="F494" t="s">
        <v>104</v>
      </c>
      <c r="G494" t="s">
        <v>68</v>
      </c>
      <c r="H494" t="s">
        <v>98</v>
      </c>
      <c r="I494" t="s">
        <v>99</v>
      </c>
      <c r="J494" t="s">
        <v>42</v>
      </c>
      <c r="K494" t="s">
        <v>138</v>
      </c>
      <c r="L494" t="s">
        <v>1592</v>
      </c>
      <c r="M494" t="s">
        <v>45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46</v>
      </c>
      <c r="U494" t="s">
        <v>47</v>
      </c>
      <c r="V494" t="str">
        <f t="shared" si="69"/>
        <v>Valid</v>
      </c>
      <c r="W494">
        <f t="shared" si="70"/>
        <v>4</v>
      </c>
      <c r="Y494" t="str">
        <f t="shared" si="71"/>
        <v>OK</v>
      </c>
      <c r="Z494" t="str">
        <f t="shared" si="72"/>
        <v>OK</v>
      </c>
      <c r="AA494" t="str">
        <f t="shared" si="73"/>
        <v>OK</v>
      </c>
      <c r="AB494" t="str">
        <f t="shared" si="74"/>
        <v>Valid</v>
      </c>
      <c r="AC494" t="str">
        <f>IF(OR(AB494="Invalid Discount",V494="Invalid Shipping"),
"Invalid",
IF(OR(Y494="Missing Region",
Z494="Missing Ship Mode",
AA494="Missing Discount",
X494="Flagged for Review"),
"Warning",
"Clean"))</f>
        <v>Clean</v>
      </c>
      <c r="AD494">
        <f t="shared" si="75"/>
        <v>0.25</v>
      </c>
      <c r="AE494">
        <f>N494*O494*(1-AD494)</f>
        <v>4088.16</v>
      </c>
      <c r="AF494">
        <f>AE494-R494</f>
        <v>882.48</v>
      </c>
      <c r="AG494" s="3">
        <f t="shared" si="76"/>
        <v>0.21586239286133616</v>
      </c>
      <c r="AH494" t="str">
        <f t="shared" si="77"/>
        <v>June</v>
      </c>
      <c r="AI494">
        <f t="shared" si="78"/>
        <v>2025</v>
      </c>
    </row>
    <row r="495" spans="1:35">
      <c r="A495" t="s">
        <v>1593</v>
      </c>
      <c r="B495" s="2">
        <v>45701</v>
      </c>
      <c r="C495" s="2">
        <v>45701</v>
      </c>
      <c r="D495" t="s">
        <v>1594</v>
      </c>
      <c r="E495" t="s">
        <v>279</v>
      </c>
      <c r="F495" t="s">
        <v>104</v>
      </c>
      <c r="G495" t="s">
        <v>52</v>
      </c>
      <c r="H495" t="s">
        <v>53</v>
      </c>
      <c r="I495" t="s">
        <v>54</v>
      </c>
      <c r="J495" t="s">
        <v>42</v>
      </c>
      <c r="K495" t="s">
        <v>43</v>
      </c>
      <c r="L495" t="s">
        <v>1595</v>
      </c>
      <c r="M495" t="s">
        <v>45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46</v>
      </c>
      <c r="U495" t="s">
        <v>47</v>
      </c>
      <c r="V495" t="str">
        <f t="shared" si="69"/>
        <v>Valid</v>
      </c>
      <c r="W495">
        <f t="shared" si="70"/>
        <v>0</v>
      </c>
      <c r="Y495" t="str">
        <f t="shared" si="71"/>
        <v>OK</v>
      </c>
      <c r="Z495" t="str">
        <f t="shared" si="72"/>
        <v>OK</v>
      </c>
      <c r="AA495" t="str">
        <f t="shared" si="73"/>
        <v>OK</v>
      </c>
      <c r="AB495" t="str">
        <f t="shared" si="74"/>
        <v>Valid</v>
      </c>
      <c r="AC495" t="str">
        <f>IF(OR(AB495="Invalid Discount",V495="Invalid Shipping"),
"Invalid",
IF(OR(Y495="Missing Region",
Z495="Missing Ship Mode",
AA495="Missing Discount",
X495="Flagged for Review"),
"Warning",
"Clean"))</f>
        <v>Clean</v>
      </c>
      <c r="AD495">
        <f t="shared" si="75"/>
        <v>0.05</v>
      </c>
      <c r="AE495">
        <f>N495*O495*(1-AD495)</f>
        <v>15273.054999999997</v>
      </c>
      <c r="AF495">
        <f>AE495-R495</f>
        <v>4184.2949999999964</v>
      </c>
      <c r="AG495" s="3">
        <f t="shared" si="76"/>
        <v>0.27396581757873573</v>
      </c>
      <c r="AH495" t="str">
        <f t="shared" si="77"/>
        <v>February</v>
      </c>
      <c r="AI495">
        <f t="shared" si="78"/>
        <v>2025</v>
      </c>
    </row>
    <row r="496" spans="1:35">
      <c r="A496" t="s">
        <v>1596</v>
      </c>
      <c r="B496" s="2">
        <v>45610</v>
      </c>
      <c r="C496" s="2">
        <v>45618</v>
      </c>
      <c r="D496" t="s">
        <v>1597</v>
      </c>
      <c r="E496" t="s">
        <v>61</v>
      </c>
      <c r="F496" t="s">
        <v>38</v>
      </c>
      <c r="G496" t="s">
        <v>77</v>
      </c>
      <c r="H496" t="s">
        <v>86</v>
      </c>
      <c r="I496" t="s">
        <v>87</v>
      </c>
      <c r="J496" t="s">
        <v>88</v>
      </c>
      <c r="K496" t="s">
        <v>185</v>
      </c>
      <c r="L496" t="s">
        <v>1598</v>
      </c>
      <c r="M496" t="s">
        <v>73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169</v>
      </c>
      <c r="U496" t="s">
        <v>82</v>
      </c>
      <c r="V496" t="str">
        <f t="shared" si="69"/>
        <v>Valid</v>
      </c>
      <c r="W496">
        <f t="shared" si="70"/>
        <v>8</v>
      </c>
      <c r="Y496" t="str">
        <f t="shared" si="71"/>
        <v>OK</v>
      </c>
      <c r="Z496" t="str">
        <f t="shared" si="72"/>
        <v>OK</v>
      </c>
      <c r="AA496" t="str">
        <f t="shared" si="73"/>
        <v>OK</v>
      </c>
      <c r="AB496" t="str">
        <f t="shared" si="74"/>
        <v>Invalid Discount</v>
      </c>
      <c r="AC496" t="str">
        <f>IF(OR(AB496="Invalid Discount",V496="Invalid Shipping"),
"Invalid",
IF(OR(Y496="Missing Region",
Z496="Missing Ship Mode",
AA496="Missing Discount",
X496="Flagged for Review"),
"Warning",
"Clean"))</f>
        <v>Invalid</v>
      </c>
      <c r="AD496">
        <f t="shared" si="75"/>
        <v>-0.13</v>
      </c>
      <c r="AE496">
        <f>N496*O496*(1-AD496)</f>
        <v>2276.9951999999998</v>
      </c>
      <c r="AF496">
        <f>AE496-R496</f>
        <v>707.61519999999973</v>
      </c>
      <c r="AG496" s="3">
        <f t="shared" si="76"/>
        <v>0.31076710218800629</v>
      </c>
      <c r="AH496" t="str">
        <f t="shared" si="77"/>
        <v>November</v>
      </c>
      <c r="AI496">
        <f t="shared" si="78"/>
        <v>2024</v>
      </c>
    </row>
    <row r="497" spans="1:35">
      <c r="A497" t="s">
        <v>1599</v>
      </c>
      <c r="B497" s="2">
        <v>45421</v>
      </c>
      <c r="C497" s="2">
        <v>45427</v>
      </c>
      <c r="D497" t="s">
        <v>1600</v>
      </c>
      <c r="E497" t="s">
        <v>50</v>
      </c>
      <c r="F497" t="s">
        <v>51</v>
      </c>
      <c r="G497" t="s">
        <v>52</v>
      </c>
      <c r="H497" t="s">
        <v>180</v>
      </c>
      <c r="I497" t="s">
        <v>181</v>
      </c>
      <c r="J497" t="s">
        <v>88</v>
      </c>
      <c r="K497" t="s">
        <v>185</v>
      </c>
      <c r="L497" t="s">
        <v>1601</v>
      </c>
      <c r="M497" t="s">
        <v>45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116</v>
      </c>
      <c r="U497" t="s">
        <v>117</v>
      </c>
      <c r="V497" t="str">
        <f t="shared" si="69"/>
        <v>Valid</v>
      </c>
      <c r="W497">
        <f t="shared" si="70"/>
        <v>6</v>
      </c>
      <c r="Y497" t="str">
        <f t="shared" si="71"/>
        <v>OK</v>
      </c>
      <c r="Z497" t="str">
        <f t="shared" si="72"/>
        <v>OK</v>
      </c>
      <c r="AA497" t="str">
        <f t="shared" si="73"/>
        <v>OK</v>
      </c>
      <c r="AB497" t="str">
        <f t="shared" si="74"/>
        <v>Valid</v>
      </c>
      <c r="AC497" t="str">
        <f>IF(OR(AB497="Invalid Discount",V497="Invalid Shipping"),
"Invalid",
IF(OR(Y497="Missing Region",
Z497="Missing Ship Mode",
AA497="Missing Discount",
X497="Flagged for Review"),
"Warning",
"Clean"))</f>
        <v>Clean</v>
      </c>
      <c r="AD497">
        <f t="shared" si="75"/>
        <v>0.05</v>
      </c>
      <c r="AE497">
        <f>N497*O497*(1-AD497)</f>
        <v>3784.7239999999997</v>
      </c>
      <c r="AF497">
        <f>AE497-R497</f>
        <v>1365.4839999999999</v>
      </c>
      <c r="AG497" s="3">
        <f t="shared" si="76"/>
        <v>0.36078826355633858</v>
      </c>
      <c r="AH497" t="str">
        <f t="shared" si="77"/>
        <v>May</v>
      </c>
      <c r="AI497">
        <f t="shared" si="78"/>
        <v>2024</v>
      </c>
    </row>
    <row r="498" spans="1:35">
      <c r="A498" t="s">
        <v>1602</v>
      </c>
      <c r="B498" s="2">
        <v>45842</v>
      </c>
      <c r="C498" s="2">
        <v>45844</v>
      </c>
      <c r="D498" t="s">
        <v>1603</v>
      </c>
      <c r="E498" t="s">
        <v>279</v>
      </c>
      <c r="F498" t="s">
        <v>51</v>
      </c>
      <c r="G498" t="s">
        <v>52</v>
      </c>
      <c r="H498" t="s">
        <v>243</v>
      </c>
      <c r="I498" t="s">
        <v>244</v>
      </c>
      <c r="J498" t="s">
        <v>55</v>
      </c>
      <c r="K498" t="s">
        <v>80</v>
      </c>
      <c r="L498" t="s">
        <v>1604</v>
      </c>
      <c r="M498" t="s">
        <v>45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46</v>
      </c>
      <c r="U498" t="s">
        <v>47</v>
      </c>
      <c r="V498" t="str">
        <f t="shared" si="69"/>
        <v>Valid</v>
      </c>
      <c r="W498">
        <f t="shared" si="70"/>
        <v>2</v>
      </c>
      <c r="Y498" t="str">
        <f t="shared" si="71"/>
        <v>OK</v>
      </c>
      <c r="Z498" t="str">
        <f t="shared" si="72"/>
        <v>OK</v>
      </c>
      <c r="AA498" t="str">
        <f t="shared" si="73"/>
        <v>OK</v>
      </c>
      <c r="AB498" t="str">
        <f t="shared" si="74"/>
        <v>Valid</v>
      </c>
      <c r="AC498" t="str">
        <f>IF(OR(AB498="Invalid Discount",V498="Invalid Shipping"),
"Invalid",
IF(OR(Y498="Missing Region",
Z498="Missing Ship Mode",
AA498="Missing Discount",
X498="Flagged for Review"),
"Warning",
"Clean"))</f>
        <v>Clean</v>
      </c>
      <c r="AD498">
        <f t="shared" si="75"/>
        <v>0.1</v>
      </c>
      <c r="AE498">
        <f>N498*O498*(1-AD498)</f>
        <v>6635.5560000000005</v>
      </c>
      <c r="AF498">
        <f>AE498-R498</f>
        <v>2982.6460000000006</v>
      </c>
      <c r="AG498" s="3">
        <f t="shared" si="76"/>
        <v>0.44949451108543131</v>
      </c>
      <c r="AH498" t="str">
        <f t="shared" si="77"/>
        <v>July</v>
      </c>
      <c r="AI498">
        <f t="shared" si="78"/>
        <v>2025</v>
      </c>
    </row>
    <row r="499" spans="1:35">
      <c r="A499" t="s">
        <v>1605</v>
      </c>
      <c r="B499" s="2">
        <v>45533</v>
      </c>
      <c r="C499" s="2">
        <v>45533</v>
      </c>
      <c r="D499" t="s">
        <v>1606</v>
      </c>
      <c r="E499" t="s">
        <v>146</v>
      </c>
      <c r="F499" t="s">
        <v>51</v>
      </c>
      <c r="G499" t="s">
        <v>39</v>
      </c>
      <c r="H499" t="s">
        <v>150</v>
      </c>
      <c r="I499" t="s">
        <v>151</v>
      </c>
      <c r="J499" t="s">
        <v>88</v>
      </c>
      <c r="K499" t="s">
        <v>89</v>
      </c>
      <c r="L499" t="s">
        <v>1607</v>
      </c>
      <c r="M499" t="s">
        <v>45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46</v>
      </c>
      <c r="U499" t="s">
        <v>82</v>
      </c>
      <c r="V499" t="str">
        <f t="shared" si="69"/>
        <v>Valid</v>
      </c>
      <c r="W499">
        <f t="shared" si="70"/>
        <v>0</v>
      </c>
      <c r="Y499" t="str">
        <f t="shared" si="71"/>
        <v>OK</v>
      </c>
      <c r="Z499" t="str">
        <f t="shared" si="72"/>
        <v>OK</v>
      </c>
      <c r="AA499" t="str">
        <f t="shared" si="73"/>
        <v>OK</v>
      </c>
      <c r="AB499" t="str">
        <f t="shared" si="74"/>
        <v>Valid</v>
      </c>
      <c r="AC499" t="str">
        <f>IF(OR(AB499="Invalid Discount",V499="Invalid Shipping"),
"Invalid",
IF(OR(Y499="Missing Region",
Z499="Missing Ship Mode",
AA499="Missing Discount",
X499="Flagged for Review"),
"Warning",
"Clean"))</f>
        <v>Clean</v>
      </c>
      <c r="AD499">
        <f t="shared" si="75"/>
        <v>0.2</v>
      </c>
      <c r="AE499">
        <f>N499*O499*(1-AD499)</f>
        <v>2485.5040000000004</v>
      </c>
      <c r="AF499">
        <f>AE499-R499</f>
        <v>457.0740000000003</v>
      </c>
      <c r="AG499" s="3">
        <f t="shared" si="76"/>
        <v>0.18389590199814615</v>
      </c>
      <c r="AH499" t="str">
        <f t="shared" si="77"/>
        <v>August</v>
      </c>
      <c r="AI499">
        <f t="shared" si="78"/>
        <v>2024</v>
      </c>
    </row>
    <row r="500" spans="1:35">
      <c r="A500" t="s">
        <v>1608</v>
      </c>
      <c r="B500" s="2">
        <v>45907</v>
      </c>
      <c r="C500" s="2">
        <v>45910</v>
      </c>
      <c r="D500" t="s">
        <v>1609</v>
      </c>
      <c r="E500" t="s">
        <v>37</v>
      </c>
      <c r="F500" t="s">
        <v>38</v>
      </c>
      <c r="G500" t="s">
        <v>39</v>
      </c>
      <c r="H500" t="s">
        <v>136</v>
      </c>
      <c r="I500" t="s">
        <v>137</v>
      </c>
      <c r="J500" t="s">
        <v>55</v>
      </c>
      <c r="K500" t="s">
        <v>80</v>
      </c>
      <c r="L500" t="s">
        <v>1610</v>
      </c>
      <c r="M500" t="s">
        <v>58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116</v>
      </c>
      <c r="U500" t="s">
        <v>82</v>
      </c>
      <c r="V500" t="str">
        <f t="shared" si="69"/>
        <v>Valid</v>
      </c>
      <c r="W500">
        <f t="shared" si="70"/>
        <v>3</v>
      </c>
      <c r="Y500" t="str">
        <f t="shared" si="71"/>
        <v>OK</v>
      </c>
      <c r="Z500" t="str">
        <f t="shared" si="72"/>
        <v>OK</v>
      </c>
      <c r="AA500" t="str">
        <f t="shared" si="73"/>
        <v>OK</v>
      </c>
      <c r="AB500" t="str">
        <f t="shared" si="74"/>
        <v>Valid</v>
      </c>
      <c r="AC500" t="str">
        <f>IF(OR(AB500="Invalid Discount",V500="Invalid Shipping"),
"Invalid",
IF(OR(Y500="Missing Region",
Z500="Missing Ship Mode",
AA500="Missing Discount",
X500="Flagged for Review"),
"Warning",
"Clean"))</f>
        <v>Clean</v>
      </c>
      <c r="AD500">
        <f t="shared" si="75"/>
        <v>0.05</v>
      </c>
      <c r="AE500">
        <f>N500*O500*(1-AD500)</f>
        <v>850.34500000000003</v>
      </c>
      <c r="AF500">
        <f>AE500-R500</f>
        <v>249.36500000000001</v>
      </c>
      <c r="AG500" s="3">
        <f t="shared" si="76"/>
        <v>0.29325156260106194</v>
      </c>
      <c r="AH500" t="str">
        <f t="shared" si="77"/>
        <v>September</v>
      </c>
      <c r="AI500">
        <f t="shared" si="78"/>
        <v>2025</v>
      </c>
    </row>
    <row r="501" spans="1:35">
      <c r="A501" t="s">
        <v>1611</v>
      </c>
      <c r="B501" s="2">
        <v>45648</v>
      </c>
      <c r="C501" s="2">
        <v>45652</v>
      </c>
      <c r="D501" t="s">
        <v>1612</v>
      </c>
      <c r="E501" t="s">
        <v>132</v>
      </c>
      <c r="F501" t="s">
        <v>109</v>
      </c>
      <c r="G501" t="s">
        <v>39</v>
      </c>
      <c r="H501" t="s">
        <v>150</v>
      </c>
      <c r="I501" t="s">
        <v>151</v>
      </c>
      <c r="J501" t="s">
        <v>55</v>
      </c>
      <c r="K501" t="s">
        <v>80</v>
      </c>
      <c r="L501" t="s">
        <v>1613</v>
      </c>
      <c r="M501" t="s">
        <v>73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46</v>
      </c>
      <c r="U501" t="s">
        <v>82</v>
      </c>
      <c r="V501" t="str">
        <f t="shared" si="69"/>
        <v>Valid</v>
      </c>
      <c r="W501">
        <f t="shared" si="70"/>
        <v>4</v>
      </c>
      <c r="Y501" t="str">
        <f t="shared" si="71"/>
        <v>OK</v>
      </c>
      <c r="Z501" t="str">
        <f t="shared" si="72"/>
        <v>OK</v>
      </c>
      <c r="AA501" t="str">
        <f t="shared" si="73"/>
        <v>Missing Discount</v>
      </c>
      <c r="AB501" t="str">
        <f t="shared" si="74"/>
        <v>Valid</v>
      </c>
      <c r="AC501" t="str">
        <f>IF(OR(AB501="Invalid Discount",V501="Invalid Shipping"),
"Invalid",
IF(OR(Y501="Missing Region",
Z501="Missing Ship Mode",
AA501="Missing Discount",
X501="Flagged for Review"),
"Warning",
"Clean"))</f>
        <v>Warning</v>
      </c>
      <c r="AD501">
        <f t="shared" si="75"/>
        <v>0</v>
      </c>
      <c r="AE501">
        <f>N501*O501*(1-AD501)</f>
        <v>9997.8299999999981</v>
      </c>
      <c r="AF501">
        <f>AE501-R501</f>
        <v>3938.7599999999984</v>
      </c>
      <c r="AG501" s="3">
        <f t="shared" si="76"/>
        <v>0.3939614896432525</v>
      </c>
      <c r="AH501" t="str">
        <f t="shared" si="77"/>
        <v>December</v>
      </c>
      <c r="AI501">
        <f t="shared" si="78"/>
        <v>2024</v>
      </c>
    </row>
    <row r="502" spans="1:35">
      <c r="A502" t="s">
        <v>1614</v>
      </c>
      <c r="B502" s="2">
        <v>45429</v>
      </c>
      <c r="C502" s="2">
        <v>45434</v>
      </c>
      <c r="D502" t="s">
        <v>1615</v>
      </c>
      <c r="E502" t="s">
        <v>146</v>
      </c>
      <c r="F502" t="s">
        <v>38</v>
      </c>
      <c r="G502" t="s">
        <v>68</v>
      </c>
      <c r="H502" t="s">
        <v>199</v>
      </c>
      <c r="I502" t="s">
        <v>200</v>
      </c>
      <c r="J502" t="s">
        <v>88</v>
      </c>
      <c r="K502" t="s">
        <v>185</v>
      </c>
      <c r="L502" t="s">
        <v>1616</v>
      </c>
      <c r="M502" t="s">
        <v>58</v>
      </c>
      <c r="N502">
        <v>9</v>
      </c>
      <c r="O502">
        <v>3795.99</v>
      </c>
      <c r="P502">
        <v>0.85</v>
      </c>
      <c r="Q502">
        <v>34163.910000000003</v>
      </c>
      <c r="R502">
        <v>28577.15</v>
      </c>
      <c r="S502">
        <v>5586.76</v>
      </c>
      <c r="T502" t="s">
        <v>46</v>
      </c>
      <c r="U502" t="s">
        <v>47</v>
      </c>
      <c r="V502" t="str">
        <f t="shared" si="69"/>
        <v>Valid</v>
      </c>
      <c r="W502">
        <f t="shared" si="70"/>
        <v>5</v>
      </c>
      <c r="Y502" t="str">
        <f t="shared" si="71"/>
        <v>OK</v>
      </c>
      <c r="Z502" t="str">
        <f t="shared" si="72"/>
        <v>OK</v>
      </c>
      <c r="AA502" t="str">
        <f t="shared" si="73"/>
        <v>OK</v>
      </c>
      <c r="AB502" t="str">
        <f t="shared" si="74"/>
        <v>Valid</v>
      </c>
      <c r="AC502" t="str">
        <f>IF(OR(AB502="Invalid Discount",V502="Invalid Shipping"),
"Invalid",
IF(OR(Y502="Missing Region",
Z502="Missing Ship Mode",
AA502="Missing Discount",
X502="Flagged for Review"),
"Warning",
"Clean"))</f>
        <v>Clean</v>
      </c>
      <c r="AD502">
        <v>0.85</v>
      </c>
      <c r="AE502">
        <f>N502*O502*(1-AD502)</f>
        <v>5124.5865000000003</v>
      </c>
      <c r="AF502">
        <f>AE502-R502</f>
        <v>-23452.5635</v>
      </c>
      <c r="AG502" s="3">
        <f t="shared" si="76"/>
        <v>-4.5764791949555343</v>
      </c>
      <c r="AH502" t="str">
        <f t="shared" si="77"/>
        <v>May</v>
      </c>
      <c r="AI502">
        <f t="shared" si="78"/>
        <v>2024</v>
      </c>
    </row>
    <row r="503" spans="1:35">
      <c r="A503" t="s">
        <v>1617</v>
      </c>
      <c r="B503" s="2">
        <v>45515</v>
      </c>
      <c r="C503" s="2">
        <v>45521</v>
      </c>
      <c r="D503" t="s">
        <v>822</v>
      </c>
      <c r="E503" t="s">
        <v>93</v>
      </c>
      <c r="F503" t="s">
        <v>38</v>
      </c>
      <c r="G503" t="s">
        <v>52</v>
      </c>
      <c r="H503" t="s">
        <v>243</v>
      </c>
      <c r="I503" t="s">
        <v>244</v>
      </c>
      <c r="J503" t="s">
        <v>42</v>
      </c>
      <c r="K503" t="s">
        <v>62</v>
      </c>
      <c r="L503" t="s">
        <v>1618</v>
      </c>
      <c r="M503" t="s">
        <v>45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46</v>
      </c>
      <c r="U503" t="s">
        <v>47</v>
      </c>
      <c r="V503" t="str">
        <f t="shared" si="69"/>
        <v>Valid</v>
      </c>
      <c r="W503">
        <f t="shared" si="70"/>
        <v>6</v>
      </c>
      <c r="Y503" t="str">
        <f t="shared" si="71"/>
        <v>OK</v>
      </c>
      <c r="Z503" t="str">
        <f t="shared" si="72"/>
        <v>OK</v>
      </c>
      <c r="AA503" t="str">
        <f t="shared" si="73"/>
        <v>OK</v>
      </c>
      <c r="AB503" t="str">
        <f t="shared" si="74"/>
        <v>Valid</v>
      </c>
      <c r="AC503" t="str">
        <f>IF(OR(AB503="Invalid Discount",V503="Invalid Shipping"),
"Invalid",
IF(OR(Y503="Missing Region",
Z503="Missing Ship Mode",
AA503="Missing Discount",
X503="Flagged for Review"),
"Warning",
"Clean"))</f>
        <v>Clean</v>
      </c>
      <c r="AD503">
        <f t="shared" si="75"/>
        <v>0.15</v>
      </c>
      <c r="AE503">
        <f>N503*O503*(1-AD503)</f>
        <v>17837.453999999998</v>
      </c>
      <c r="AF503">
        <f>AE503-R503</f>
        <v>4210.4339999999975</v>
      </c>
      <c r="AG503" s="3">
        <f t="shared" si="76"/>
        <v>0.23604456106796395</v>
      </c>
      <c r="AH503" t="str">
        <f t="shared" si="77"/>
        <v>August</v>
      </c>
      <c r="AI503">
        <f t="shared" si="78"/>
        <v>2024</v>
      </c>
    </row>
    <row r="504" spans="1:35">
      <c r="A504" t="s">
        <v>1619</v>
      </c>
      <c r="B504" s="2">
        <v>45383</v>
      </c>
      <c r="C504" s="2">
        <v>45391</v>
      </c>
      <c r="D504" t="s">
        <v>1620</v>
      </c>
      <c r="E504" t="s">
        <v>128</v>
      </c>
      <c r="F504" t="s">
        <v>51</v>
      </c>
      <c r="G504" t="s">
        <v>52</v>
      </c>
      <c r="H504" t="s">
        <v>53</v>
      </c>
      <c r="I504" t="s">
        <v>54</v>
      </c>
      <c r="J504" t="s">
        <v>88</v>
      </c>
      <c r="K504" t="s">
        <v>94</v>
      </c>
      <c r="L504" t="s">
        <v>1621</v>
      </c>
      <c r="M504" t="s">
        <v>45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46</v>
      </c>
      <c r="U504" t="s">
        <v>47</v>
      </c>
      <c r="V504" t="str">
        <f t="shared" si="69"/>
        <v>Valid</v>
      </c>
      <c r="W504">
        <f t="shared" si="70"/>
        <v>8</v>
      </c>
      <c r="Y504" t="str">
        <f t="shared" si="71"/>
        <v>OK</v>
      </c>
      <c r="Z504" t="str">
        <f t="shared" si="72"/>
        <v>OK</v>
      </c>
      <c r="AA504" t="str">
        <f t="shared" si="73"/>
        <v>OK</v>
      </c>
      <c r="AB504" t="str">
        <f t="shared" si="74"/>
        <v>Valid</v>
      </c>
      <c r="AC504" t="str">
        <f>IF(OR(AB504="Invalid Discount",V504="Invalid Shipping"),
"Invalid",
IF(OR(Y504="Missing Region",
Z504="Missing Ship Mode",
AA504="Missing Discount",
X504="Flagged for Review"),
"Warning",
"Clean"))</f>
        <v>Clean</v>
      </c>
      <c r="AD504">
        <f t="shared" si="75"/>
        <v>0.1</v>
      </c>
      <c r="AE504">
        <f>N504*O504*(1-AD504)</f>
        <v>4465.4220000000005</v>
      </c>
      <c r="AF504">
        <f>AE504-R504</f>
        <v>1088.3220000000006</v>
      </c>
      <c r="AG504" s="3">
        <f t="shared" si="76"/>
        <v>0.24372209390288319</v>
      </c>
      <c r="AH504" t="str">
        <f t="shared" si="77"/>
        <v>April</v>
      </c>
      <c r="AI504">
        <f t="shared" si="78"/>
        <v>2024</v>
      </c>
    </row>
    <row r="505" spans="1:35">
      <c r="A505" t="s">
        <v>1622</v>
      </c>
      <c r="B505" s="2">
        <v>45563</v>
      </c>
      <c r="C505" s="2">
        <v>45570</v>
      </c>
      <c r="D505" t="s">
        <v>1623</v>
      </c>
      <c r="E505" t="s">
        <v>142</v>
      </c>
      <c r="F505" t="s">
        <v>38</v>
      </c>
      <c r="G505" t="s">
        <v>68</v>
      </c>
      <c r="H505" t="s">
        <v>262</v>
      </c>
      <c r="I505" t="s">
        <v>263</v>
      </c>
      <c r="J505" t="s">
        <v>88</v>
      </c>
      <c r="K505" t="s">
        <v>185</v>
      </c>
      <c r="L505" t="s">
        <v>1624</v>
      </c>
      <c r="M505" t="s">
        <v>73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46</v>
      </c>
      <c r="U505" t="s">
        <v>47</v>
      </c>
      <c r="V505" t="str">
        <f t="shared" si="69"/>
        <v>Valid</v>
      </c>
      <c r="W505">
        <f t="shared" si="70"/>
        <v>7</v>
      </c>
      <c r="Y505" t="str">
        <f t="shared" si="71"/>
        <v>OK</v>
      </c>
      <c r="Z505" t="str">
        <f t="shared" si="72"/>
        <v>OK</v>
      </c>
      <c r="AA505" t="str">
        <f t="shared" si="73"/>
        <v>OK</v>
      </c>
      <c r="AB505" t="str">
        <f t="shared" si="74"/>
        <v>Valid</v>
      </c>
      <c r="AC505" t="str">
        <f>IF(OR(AB505="Invalid Discount",V505="Invalid Shipping"),
"Invalid",
IF(OR(Y505="Missing Region",
Z505="Missing Ship Mode",
AA505="Missing Discount",
X505="Flagged for Review"),
"Warning",
"Clean"))</f>
        <v>Clean</v>
      </c>
      <c r="AD505">
        <f t="shared" si="75"/>
        <v>0.1</v>
      </c>
      <c r="AE505">
        <f>N505*O505*(1-AD505)</f>
        <v>10594.08</v>
      </c>
      <c r="AF505">
        <f>AE505-R505</f>
        <v>3433.7699999999995</v>
      </c>
      <c r="AG505" s="3">
        <f t="shared" si="76"/>
        <v>0.32412158488514337</v>
      </c>
      <c r="AH505" t="str">
        <f t="shared" si="77"/>
        <v>September</v>
      </c>
      <c r="AI505">
        <f t="shared" si="78"/>
        <v>2024</v>
      </c>
    </row>
    <row r="506" spans="1:35">
      <c r="A506" t="s">
        <v>1625</v>
      </c>
      <c r="B506" s="2">
        <v>45700</v>
      </c>
      <c r="C506" s="2">
        <v>45705</v>
      </c>
      <c r="D506" t="s">
        <v>1626</v>
      </c>
      <c r="E506" t="s">
        <v>67</v>
      </c>
      <c r="F506" t="s">
        <v>104</v>
      </c>
      <c r="G506" t="s">
        <v>77</v>
      </c>
      <c r="H506" t="s">
        <v>194</v>
      </c>
      <c r="I506" t="s">
        <v>195</v>
      </c>
      <c r="J506" t="s">
        <v>42</v>
      </c>
      <c r="K506" t="s">
        <v>62</v>
      </c>
      <c r="L506" t="s">
        <v>1627</v>
      </c>
      <c r="M506" t="s">
        <v>73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46</v>
      </c>
      <c r="U506" t="s">
        <v>47</v>
      </c>
      <c r="V506" t="str">
        <f t="shared" si="69"/>
        <v>Valid</v>
      </c>
      <c r="W506">
        <f t="shared" si="70"/>
        <v>5</v>
      </c>
      <c r="Y506" t="str">
        <f t="shared" si="71"/>
        <v>OK</v>
      </c>
      <c r="Z506" t="str">
        <f t="shared" si="72"/>
        <v>OK</v>
      </c>
      <c r="AA506" t="str">
        <f t="shared" si="73"/>
        <v>OK</v>
      </c>
      <c r="AB506" t="str">
        <f t="shared" si="74"/>
        <v>Valid</v>
      </c>
      <c r="AC506" t="str">
        <f>IF(OR(AB506="Invalid Discount",V506="Invalid Shipping"),
"Invalid",
IF(OR(Y506="Missing Region",
Z506="Missing Ship Mode",
AA506="Missing Discount",
X506="Flagged for Review"),
"Warning",
"Clean"))</f>
        <v>Clean</v>
      </c>
      <c r="AD506">
        <f t="shared" si="75"/>
        <v>0</v>
      </c>
      <c r="AE506">
        <f>N506*O506*(1-AD506)</f>
        <v>17312.48</v>
      </c>
      <c r="AF506">
        <f>AE506-R506</f>
        <v>2888.26</v>
      </c>
      <c r="AG506" s="3">
        <f t="shared" si="76"/>
        <v>0.16683109525613893</v>
      </c>
      <c r="AH506" t="str">
        <f t="shared" si="77"/>
        <v>February</v>
      </c>
      <c r="AI506">
        <f t="shared" si="78"/>
        <v>2025</v>
      </c>
    </row>
    <row r="507" spans="1:35">
      <c r="A507" t="s">
        <v>1628</v>
      </c>
      <c r="B507" s="2">
        <v>45605</v>
      </c>
      <c r="C507" s="2">
        <v>45610</v>
      </c>
      <c r="D507" t="s">
        <v>1629</v>
      </c>
      <c r="E507" t="s">
        <v>93</v>
      </c>
      <c r="F507" t="s">
        <v>104</v>
      </c>
      <c r="G507" t="s">
        <v>77</v>
      </c>
      <c r="H507" t="s">
        <v>86</v>
      </c>
      <c r="I507" t="s">
        <v>87</v>
      </c>
      <c r="J507" t="s">
        <v>42</v>
      </c>
      <c r="K507" t="s">
        <v>62</v>
      </c>
      <c r="L507" t="s">
        <v>1630</v>
      </c>
      <c r="M507" t="s">
        <v>64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46</v>
      </c>
      <c r="U507" t="s">
        <v>82</v>
      </c>
      <c r="V507" t="str">
        <f t="shared" si="69"/>
        <v>Valid</v>
      </c>
      <c r="W507">
        <f t="shared" si="70"/>
        <v>5</v>
      </c>
      <c r="Y507" t="str">
        <f t="shared" si="71"/>
        <v>OK</v>
      </c>
      <c r="Z507" t="str">
        <f t="shared" si="72"/>
        <v>OK</v>
      </c>
      <c r="AA507" t="str">
        <f t="shared" si="73"/>
        <v>OK</v>
      </c>
      <c r="AB507" t="str">
        <f t="shared" si="74"/>
        <v>Valid</v>
      </c>
      <c r="AC507" t="str">
        <f>IF(OR(AB507="Invalid Discount",V507="Invalid Shipping"),
"Invalid",
IF(OR(Y507="Missing Region",
Z507="Missing Ship Mode",
AA507="Missing Discount",
X507="Flagged for Review"),
"Warning",
"Clean"))</f>
        <v>Clean</v>
      </c>
      <c r="AD507">
        <f t="shared" si="75"/>
        <v>0.2</v>
      </c>
      <c r="AE507">
        <f>N507*O507*(1-AD507)</f>
        <v>17555.688000000002</v>
      </c>
      <c r="AF507">
        <f>AE507-R507</f>
        <v>4262.4880000000012</v>
      </c>
      <c r="AG507" s="3">
        <f t="shared" si="76"/>
        <v>0.24279811762432785</v>
      </c>
      <c r="AH507" t="str">
        <f t="shared" si="77"/>
        <v>November</v>
      </c>
      <c r="AI507">
        <f t="shared" si="78"/>
        <v>2024</v>
      </c>
    </row>
    <row r="508" spans="1:35">
      <c r="A508" t="s">
        <v>1631</v>
      </c>
      <c r="B508" s="2">
        <v>45641</v>
      </c>
      <c r="C508" s="2">
        <v>45641</v>
      </c>
      <c r="D508" t="s">
        <v>1632</v>
      </c>
      <c r="E508" t="s">
        <v>142</v>
      </c>
      <c r="F508" t="s">
        <v>51</v>
      </c>
      <c r="G508" t="s">
        <v>39</v>
      </c>
      <c r="H508" t="s">
        <v>136</v>
      </c>
      <c r="I508" t="s">
        <v>137</v>
      </c>
      <c r="J508" t="s">
        <v>55</v>
      </c>
      <c r="K508" t="s">
        <v>71</v>
      </c>
      <c r="L508" t="s">
        <v>1633</v>
      </c>
      <c r="M508" t="s">
        <v>64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116</v>
      </c>
      <c r="U508" t="s">
        <v>117</v>
      </c>
      <c r="V508" t="str">
        <f t="shared" si="69"/>
        <v>Valid</v>
      </c>
      <c r="W508">
        <f t="shared" si="70"/>
        <v>0</v>
      </c>
      <c r="Y508" t="str">
        <f t="shared" si="71"/>
        <v>OK</v>
      </c>
      <c r="Z508" t="str">
        <f t="shared" si="72"/>
        <v>OK</v>
      </c>
      <c r="AA508" t="str">
        <f t="shared" si="73"/>
        <v>OK</v>
      </c>
      <c r="AB508" t="str">
        <f t="shared" si="74"/>
        <v>Valid</v>
      </c>
      <c r="AC508" t="str">
        <f>IF(OR(AB508="Invalid Discount",V508="Invalid Shipping"),
"Invalid",
IF(OR(Y508="Missing Region",
Z508="Missing Ship Mode",
AA508="Missing Discount",
X508="Flagged for Review"),
"Warning",
"Clean"))</f>
        <v>Clean</v>
      </c>
      <c r="AD508">
        <f t="shared" si="75"/>
        <v>0.1</v>
      </c>
      <c r="AE508">
        <f>N508*O508*(1-AD508)</f>
        <v>1205.6399999999999</v>
      </c>
      <c r="AF508">
        <f>AE508-R508</f>
        <v>363.56999999999982</v>
      </c>
      <c r="AG508" s="3">
        <f t="shared" si="76"/>
        <v>0.30155767890912699</v>
      </c>
      <c r="AH508" t="str">
        <f t="shared" si="77"/>
        <v>December</v>
      </c>
      <c r="AI508">
        <f t="shared" si="78"/>
        <v>2024</v>
      </c>
    </row>
    <row r="509" spans="1:35">
      <c r="A509" t="s">
        <v>1634</v>
      </c>
      <c r="B509" s="2">
        <v>45762</v>
      </c>
      <c r="C509" s="2">
        <v>45769</v>
      </c>
      <c r="D509" t="s">
        <v>1635</v>
      </c>
      <c r="E509" t="s">
        <v>61</v>
      </c>
      <c r="F509" t="s">
        <v>51</v>
      </c>
      <c r="G509" t="s">
        <v>39</v>
      </c>
      <c r="H509" t="s">
        <v>251</v>
      </c>
      <c r="I509" t="s">
        <v>252</v>
      </c>
      <c r="J509" t="s">
        <v>42</v>
      </c>
      <c r="K509" t="s">
        <v>167</v>
      </c>
      <c r="L509" t="s">
        <v>1636</v>
      </c>
      <c r="M509" t="s">
        <v>58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46</v>
      </c>
      <c r="U509" t="s">
        <v>47</v>
      </c>
      <c r="V509" t="str">
        <f t="shared" si="69"/>
        <v>Valid</v>
      </c>
      <c r="W509">
        <f t="shared" si="70"/>
        <v>7</v>
      </c>
      <c r="Y509" t="str">
        <f t="shared" si="71"/>
        <v>OK</v>
      </c>
      <c r="Z509" t="str">
        <f t="shared" si="72"/>
        <v>OK</v>
      </c>
      <c r="AA509" t="str">
        <f t="shared" si="73"/>
        <v>OK</v>
      </c>
      <c r="AB509" t="str">
        <f t="shared" si="74"/>
        <v>Valid</v>
      </c>
      <c r="AC509" t="str">
        <f>IF(OR(AB509="Invalid Discount",V509="Invalid Shipping"),
"Invalid",
IF(OR(Y509="Missing Region",
Z509="Missing Ship Mode",
AA509="Missing Discount",
X509="Flagged for Review"),
"Warning",
"Clean"))</f>
        <v>Clean</v>
      </c>
      <c r="AD509">
        <f t="shared" si="75"/>
        <v>0.25</v>
      </c>
      <c r="AE509">
        <f>N509*O509*(1-AD509)</f>
        <v>8971.26</v>
      </c>
      <c r="AF509">
        <f>AE509-R509</f>
        <v>2156.91</v>
      </c>
      <c r="AG509" s="3">
        <f t="shared" si="76"/>
        <v>0.24042442198754688</v>
      </c>
      <c r="AH509" t="str">
        <f t="shared" si="77"/>
        <v>April</v>
      </c>
      <c r="AI509">
        <f t="shared" si="78"/>
        <v>2025</v>
      </c>
    </row>
    <row r="510" spans="1:35">
      <c r="A510" t="s">
        <v>1637</v>
      </c>
      <c r="B510" s="2">
        <v>45382</v>
      </c>
      <c r="C510" s="2">
        <v>45389</v>
      </c>
      <c r="D510" t="s">
        <v>1638</v>
      </c>
      <c r="E510" t="s">
        <v>61</v>
      </c>
      <c r="F510" t="s">
        <v>51</v>
      </c>
      <c r="G510" t="s">
        <v>39</v>
      </c>
      <c r="H510" t="s">
        <v>251</v>
      </c>
      <c r="I510" t="s">
        <v>252</v>
      </c>
      <c r="J510" t="s">
        <v>88</v>
      </c>
      <c r="K510" t="s">
        <v>289</v>
      </c>
      <c r="L510" t="s">
        <v>1639</v>
      </c>
      <c r="M510" t="s">
        <v>45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46</v>
      </c>
      <c r="U510" t="s">
        <v>47</v>
      </c>
      <c r="V510" t="str">
        <f t="shared" si="69"/>
        <v>Valid</v>
      </c>
      <c r="W510">
        <f t="shared" si="70"/>
        <v>7</v>
      </c>
      <c r="Y510" t="str">
        <f t="shared" si="71"/>
        <v>OK</v>
      </c>
      <c r="Z510" t="str">
        <f t="shared" si="72"/>
        <v>OK</v>
      </c>
      <c r="AA510" t="str">
        <f t="shared" si="73"/>
        <v>OK</v>
      </c>
      <c r="AB510" t="str">
        <f t="shared" si="74"/>
        <v>Valid</v>
      </c>
      <c r="AC510" t="str">
        <f>IF(OR(AB510="Invalid Discount",V510="Invalid Shipping"),
"Invalid",
IF(OR(Y510="Missing Region",
Z510="Missing Ship Mode",
AA510="Missing Discount",
X510="Flagged for Review"),
"Warning",
"Clean"))</f>
        <v>Clean</v>
      </c>
      <c r="AD510">
        <f t="shared" si="75"/>
        <v>0</v>
      </c>
      <c r="AE510">
        <f>N510*O510*(1-AD510)</f>
        <v>7324</v>
      </c>
      <c r="AF510">
        <f>AE510-R510</f>
        <v>3144.37</v>
      </c>
      <c r="AG510" s="3">
        <f t="shared" si="76"/>
        <v>0.42932413981430911</v>
      </c>
      <c r="AH510" t="str">
        <f t="shared" si="77"/>
        <v>March</v>
      </c>
      <c r="AI510">
        <f t="shared" si="78"/>
        <v>2024</v>
      </c>
    </row>
    <row r="511" spans="1:35">
      <c r="A511" t="s">
        <v>1640</v>
      </c>
      <c r="B511" s="2">
        <v>45789</v>
      </c>
      <c r="C511" s="2">
        <v>45791</v>
      </c>
      <c r="D511" t="s">
        <v>1641</v>
      </c>
      <c r="E511" t="s">
        <v>93</v>
      </c>
      <c r="F511" t="s">
        <v>38</v>
      </c>
      <c r="G511" t="s">
        <v>77</v>
      </c>
      <c r="H511" t="s">
        <v>194</v>
      </c>
      <c r="I511" t="s">
        <v>195</v>
      </c>
      <c r="J511" t="s">
        <v>88</v>
      </c>
      <c r="K511" t="s">
        <v>289</v>
      </c>
      <c r="L511" t="s">
        <v>1642</v>
      </c>
      <c r="M511" t="s">
        <v>58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46</v>
      </c>
      <c r="U511" t="s">
        <v>47</v>
      </c>
      <c r="V511" t="str">
        <f t="shared" si="69"/>
        <v>Valid</v>
      </c>
      <c r="W511">
        <f t="shared" si="70"/>
        <v>2</v>
      </c>
      <c r="Y511" t="str">
        <f t="shared" si="71"/>
        <v>OK</v>
      </c>
      <c r="Z511" t="str">
        <f t="shared" si="72"/>
        <v>OK</v>
      </c>
      <c r="AA511" t="str">
        <f t="shared" si="73"/>
        <v>OK</v>
      </c>
      <c r="AB511" t="str">
        <f t="shared" si="74"/>
        <v>Valid</v>
      </c>
      <c r="AC511" t="str">
        <f>IF(OR(AB511="Invalid Discount",V511="Invalid Shipping"),
"Invalid",
IF(OR(Y511="Missing Region",
Z511="Missing Ship Mode",
AA511="Missing Discount",
X511="Flagged for Review"),
"Warning",
"Clean"))</f>
        <v>Clean</v>
      </c>
      <c r="AD511">
        <f t="shared" si="75"/>
        <v>0.2</v>
      </c>
      <c r="AE511">
        <f>N511*O511*(1-AD511)</f>
        <v>23241.216</v>
      </c>
      <c r="AF511">
        <f>AE511-R511</f>
        <v>6020.3159999999989</v>
      </c>
      <c r="AG511" s="3">
        <f t="shared" si="76"/>
        <v>0.25903618812371948</v>
      </c>
      <c r="AH511" t="str">
        <f t="shared" si="77"/>
        <v>May</v>
      </c>
      <c r="AI511">
        <f t="shared" si="78"/>
        <v>2025</v>
      </c>
    </row>
    <row r="512" spans="1:35">
      <c r="A512" t="s">
        <v>1643</v>
      </c>
      <c r="B512" s="2">
        <v>45583</v>
      </c>
      <c r="C512" s="2">
        <v>45586</v>
      </c>
      <c r="D512" t="s">
        <v>1644</v>
      </c>
      <c r="E512" t="s">
        <v>142</v>
      </c>
      <c r="F512" t="s">
        <v>38</v>
      </c>
      <c r="G512" t="s">
        <v>68</v>
      </c>
      <c r="H512" t="s">
        <v>189</v>
      </c>
      <c r="I512" t="s">
        <v>190</v>
      </c>
      <c r="J512" t="s">
        <v>42</v>
      </c>
      <c r="K512" t="s">
        <v>138</v>
      </c>
      <c r="L512" t="s">
        <v>1645</v>
      </c>
      <c r="M512" t="s">
        <v>45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46</v>
      </c>
      <c r="U512" t="s">
        <v>47</v>
      </c>
      <c r="V512" t="str">
        <f t="shared" si="69"/>
        <v>Valid</v>
      </c>
      <c r="W512">
        <f t="shared" si="70"/>
        <v>3</v>
      </c>
      <c r="Y512" t="str">
        <f t="shared" si="71"/>
        <v>OK</v>
      </c>
      <c r="Z512" t="str">
        <f t="shared" si="72"/>
        <v>OK</v>
      </c>
      <c r="AA512" t="str">
        <f t="shared" si="73"/>
        <v>OK</v>
      </c>
      <c r="AB512" t="str">
        <f t="shared" si="74"/>
        <v>Valid</v>
      </c>
      <c r="AC512" t="str">
        <f>IF(OR(AB512="Invalid Discount",V512="Invalid Shipping"),
"Invalid",
IF(OR(Y512="Missing Region",
Z512="Missing Ship Mode",
AA512="Missing Discount",
X512="Flagged for Review"),
"Warning",
"Clean"))</f>
        <v>Clean</v>
      </c>
      <c r="AD512">
        <f t="shared" si="75"/>
        <v>0</v>
      </c>
      <c r="AE512">
        <f>N512*O512*(1-AD512)</f>
        <v>8477.02</v>
      </c>
      <c r="AF512">
        <f>AE512-R512</f>
        <v>1592.0600000000004</v>
      </c>
      <c r="AG512" s="3">
        <f t="shared" si="76"/>
        <v>0.18780892341884298</v>
      </c>
      <c r="AH512" t="str">
        <f t="shared" si="77"/>
        <v>October</v>
      </c>
      <c r="AI512">
        <f t="shared" si="78"/>
        <v>2024</v>
      </c>
    </row>
    <row r="513" spans="1:35">
      <c r="A513" t="s">
        <v>1646</v>
      </c>
      <c r="B513" s="2">
        <v>45588</v>
      </c>
      <c r="C513" s="2">
        <v>45591</v>
      </c>
      <c r="D513" t="s">
        <v>1647</v>
      </c>
      <c r="E513" t="s">
        <v>146</v>
      </c>
      <c r="F513" t="s">
        <v>38</v>
      </c>
      <c r="G513" t="s">
        <v>77</v>
      </c>
      <c r="H513" t="s">
        <v>86</v>
      </c>
      <c r="I513" t="s">
        <v>87</v>
      </c>
      <c r="J513" t="s">
        <v>55</v>
      </c>
      <c r="K513" t="s">
        <v>172</v>
      </c>
      <c r="L513" t="s">
        <v>1648</v>
      </c>
      <c r="M513" t="s">
        <v>73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46</v>
      </c>
      <c r="U513" t="s">
        <v>47</v>
      </c>
      <c r="V513" t="str">
        <f t="shared" si="69"/>
        <v>Valid</v>
      </c>
      <c r="W513">
        <f t="shared" si="70"/>
        <v>3</v>
      </c>
      <c r="Y513" t="str">
        <f t="shared" si="71"/>
        <v>OK</v>
      </c>
      <c r="Z513" t="str">
        <f t="shared" si="72"/>
        <v>OK</v>
      </c>
      <c r="AA513" t="str">
        <f t="shared" si="73"/>
        <v>OK</v>
      </c>
      <c r="AB513" t="str">
        <f t="shared" si="74"/>
        <v>Valid</v>
      </c>
      <c r="AC513" t="str">
        <f>IF(OR(AB513="Invalid Discount",V513="Invalid Shipping"),
"Invalid",
IF(OR(Y513="Missing Region",
Z513="Missing Ship Mode",
AA513="Missing Discount",
X513="Flagged for Review"),
"Warning",
"Clean"))</f>
        <v>Clean</v>
      </c>
      <c r="AD513">
        <f t="shared" si="75"/>
        <v>0.25</v>
      </c>
      <c r="AE513">
        <f>N513*O513*(1-AD513)</f>
        <v>3673.8225000000002</v>
      </c>
      <c r="AF513">
        <f>AE513-R513</f>
        <v>1585.6725000000001</v>
      </c>
      <c r="AG513" s="3">
        <f t="shared" si="76"/>
        <v>0.43161380278987349</v>
      </c>
      <c r="AH513" t="str">
        <f t="shared" si="77"/>
        <v>October</v>
      </c>
      <c r="AI513">
        <f t="shared" si="78"/>
        <v>2024</v>
      </c>
    </row>
    <row r="514" spans="1:35">
      <c r="A514" t="s">
        <v>1649</v>
      </c>
      <c r="B514" s="2">
        <v>45718</v>
      </c>
      <c r="C514" s="2">
        <v>45719</v>
      </c>
      <c r="D514" t="s">
        <v>1261</v>
      </c>
      <c r="E514" t="s">
        <v>61</v>
      </c>
      <c r="F514" t="s">
        <v>104</v>
      </c>
      <c r="G514" t="s">
        <v>68</v>
      </c>
      <c r="H514" t="s">
        <v>199</v>
      </c>
      <c r="I514" t="s">
        <v>200</v>
      </c>
      <c r="J514" t="s">
        <v>42</v>
      </c>
      <c r="K514" t="s">
        <v>105</v>
      </c>
      <c r="L514" t="s">
        <v>1650</v>
      </c>
      <c r="M514" t="s">
        <v>45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46</v>
      </c>
      <c r="U514" t="s">
        <v>47</v>
      </c>
      <c r="V514" t="str">
        <f t="shared" si="69"/>
        <v>Valid</v>
      </c>
      <c r="W514">
        <f t="shared" si="70"/>
        <v>1</v>
      </c>
      <c r="Y514" t="str">
        <f t="shared" si="71"/>
        <v>OK</v>
      </c>
      <c r="Z514" t="str">
        <f t="shared" si="72"/>
        <v>OK</v>
      </c>
      <c r="AA514" t="str">
        <f t="shared" si="73"/>
        <v>OK</v>
      </c>
      <c r="AB514" t="str">
        <f t="shared" si="74"/>
        <v>Valid</v>
      </c>
      <c r="AC514" t="str">
        <f>IF(OR(AB514="Invalid Discount",V514="Invalid Shipping"),
"Invalid",
IF(OR(Y514="Missing Region",
Z514="Missing Ship Mode",
AA514="Missing Discount",
X514="Flagged for Review"),
"Warning",
"Clean"))</f>
        <v>Clean</v>
      </c>
      <c r="AD514">
        <f t="shared" si="75"/>
        <v>0.25</v>
      </c>
      <c r="AE514">
        <f>N514*O514*(1-AD514)</f>
        <v>6047.1749999999993</v>
      </c>
      <c r="AF514">
        <f>AE514-R514</f>
        <v>2678.3849999999993</v>
      </c>
      <c r="AG514" s="3">
        <f t="shared" si="76"/>
        <v>0.44291508018206843</v>
      </c>
      <c r="AH514" t="str">
        <f t="shared" si="77"/>
        <v>March</v>
      </c>
      <c r="AI514">
        <f t="shared" si="78"/>
        <v>2025</v>
      </c>
    </row>
    <row r="515" spans="1:35">
      <c r="A515" t="s">
        <v>1651</v>
      </c>
      <c r="B515" s="2">
        <v>45835</v>
      </c>
      <c r="C515" s="2">
        <v>45840</v>
      </c>
      <c r="D515" t="s">
        <v>1652</v>
      </c>
      <c r="E515" t="s">
        <v>142</v>
      </c>
      <c r="F515" t="s">
        <v>104</v>
      </c>
      <c r="G515" t="s">
        <v>68</v>
      </c>
      <c r="H515" t="s">
        <v>199</v>
      </c>
      <c r="I515" t="s">
        <v>200</v>
      </c>
      <c r="J515" t="s">
        <v>88</v>
      </c>
      <c r="K515" t="s">
        <v>89</v>
      </c>
      <c r="L515" t="s">
        <v>1653</v>
      </c>
      <c r="M515" t="s">
        <v>64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46</v>
      </c>
      <c r="U515" t="s">
        <v>47</v>
      </c>
      <c r="V515" t="str">
        <f t="shared" ref="V515:V578" si="79">IF(C515&lt;B515,"Invalid Shipping","Valid")</f>
        <v>Valid</v>
      </c>
      <c r="W515">
        <f t="shared" ref="W515:W578" si="80">C515-B515</f>
        <v>5</v>
      </c>
      <c r="Y515" t="str">
        <f t="shared" ref="Y515:Y578" si="81">IF(G515="Unknown","Missing Region","OK")</f>
        <v>OK</v>
      </c>
      <c r="Z515" t="str">
        <f t="shared" ref="Z515:Z578" si="82">IF(M515="Unknown","Missing Ship Mode","OK")</f>
        <v>OK</v>
      </c>
      <c r="AA515" t="str">
        <f t="shared" ref="AA515:AA578" si="83">IF(P515="","Missing Discount","OK")</f>
        <v>OK</v>
      </c>
      <c r="AB515" t="str">
        <f t="shared" ref="AB515:AB578" si="84">IF(OR(P515&lt;0,P515&gt;1),"Invalid Discount","Valid")</f>
        <v>Valid</v>
      </c>
      <c r="AC515" t="str">
        <f>IF(OR(AB515="Invalid Discount",V515="Invalid Shipping"),
"Invalid",
IF(OR(Y515="Missing Region",
Z515="Missing Ship Mode",
AA515="Missing Discount",
X515="Flagged for Review"),
"Warning",
"Clean"))</f>
        <v>Clean</v>
      </c>
      <c r="AD515">
        <f t="shared" ref="AD515:AD578" si="85">IF(P515="",0,P515)</f>
        <v>0.1</v>
      </c>
      <c r="AE515">
        <f>N515*O515*(1-AD515)</f>
        <v>5937.246000000001</v>
      </c>
      <c r="AF515">
        <f>AE515-R515</f>
        <v>1848.786000000001</v>
      </c>
      <c r="AG515" s="3">
        <f t="shared" ref="AG515:AG578" si="86">IF(AE515=0,0,AF515/AE515)</f>
        <v>0.31138780505304997</v>
      </c>
      <c r="AH515" t="str">
        <f t="shared" ref="AH515:AH578" si="87">TEXT(B515,"mmmm")</f>
        <v>June</v>
      </c>
      <c r="AI515">
        <f t="shared" ref="AI515:AI578" si="88">YEAR(B515)</f>
        <v>2025</v>
      </c>
    </row>
    <row r="516" spans="1:35">
      <c r="A516" t="s">
        <v>1654</v>
      </c>
      <c r="B516" s="2">
        <v>45614</v>
      </c>
      <c r="C516" s="2">
        <v>45618</v>
      </c>
      <c r="D516" t="s">
        <v>1655</v>
      </c>
      <c r="E516" t="s">
        <v>37</v>
      </c>
      <c r="F516" t="s">
        <v>109</v>
      </c>
      <c r="G516" t="s">
        <v>68</v>
      </c>
      <c r="H516" t="s">
        <v>199</v>
      </c>
      <c r="I516" t="s">
        <v>200</v>
      </c>
      <c r="J516" t="s">
        <v>88</v>
      </c>
      <c r="K516" t="s">
        <v>89</v>
      </c>
      <c r="L516" t="s">
        <v>1656</v>
      </c>
      <c r="M516" t="s">
        <v>73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46</v>
      </c>
      <c r="U516" t="s">
        <v>47</v>
      </c>
      <c r="V516" t="str">
        <f t="shared" si="79"/>
        <v>Valid</v>
      </c>
      <c r="W516">
        <f t="shared" si="80"/>
        <v>4</v>
      </c>
      <c r="Y516" t="str">
        <f t="shared" si="81"/>
        <v>OK</v>
      </c>
      <c r="Z516" t="str">
        <f t="shared" si="82"/>
        <v>OK</v>
      </c>
      <c r="AA516" t="str">
        <f t="shared" si="83"/>
        <v>OK</v>
      </c>
      <c r="AB516" t="str">
        <f t="shared" si="84"/>
        <v>Valid</v>
      </c>
      <c r="AC516" t="str">
        <f>IF(OR(AB516="Invalid Discount",V516="Invalid Shipping"),
"Invalid",
IF(OR(Y516="Missing Region",
Z516="Missing Ship Mode",
AA516="Missing Discount",
X516="Flagged for Review"),
"Warning",
"Clean"))</f>
        <v>Clean</v>
      </c>
      <c r="AD516">
        <f t="shared" si="85"/>
        <v>0.1</v>
      </c>
      <c r="AE516">
        <f>N516*O516*(1-AD516)</f>
        <v>20913.876</v>
      </c>
      <c r="AF516">
        <f>AE516-R516</f>
        <v>9229.1959999999999</v>
      </c>
      <c r="AG516" s="3">
        <f t="shared" si="86"/>
        <v>0.44129533903710627</v>
      </c>
      <c r="AH516" t="str">
        <f t="shared" si="87"/>
        <v>November</v>
      </c>
      <c r="AI516">
        <f t="shared" si="88"/>
        <v>2024</v>
      </c>
    </row>
    <row r="517" spans="1:35">
      <c r="A517" t="s">
        <v>1657</v>
      </c>
      <c r="B517" s="2">
        <v>45758</v>
      </c>
      <c r="C517" s="2">
        <v>45758</v>
      </c>
      <c r="D517" t="s">
        <v>1658</v>
      </c>
      <c r="E517" t="s">
        <v>132</v>
      </c>
      <c r="F517" t="s">
        <v>104</v>
      </c>
      <c r="G517" t="s">
        <v>39</v>
      </c>
      <c r="H517" t="s">
        <v>365</v>
      </c>
      <c r="I517" t="s">
        <v>366</v>
      </c>
      <c r="J517" t="s">
        <v>42</v>
      </c>
      <c r="K517" t="s">
        <v>43</v>
      </c>
      <c r="L517" t="s">
        <v>1659</v>
      </c>
      <c r="M517" t="s">
        <v>73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46</v>
      </c>
      <c r="U517" t="s">
        <v>47</v>
      </c>
      <c r="V517" t="str">
        <f t="shared" si="79"/>
        <v>Valid</v>
      </c>
      <c r="W517">
        <f t="shared" si="80"/>
        <v>0</v>
      </c>
      <c r="Y517" t="str">
        <f t="shared" si="81"/>
        <v>OK</v>
      </c>
      <c r="Z517" t="str">
        <f t="shared" si="82"/>
        <v>OK</v>
      </c>
      <c r="AA517" t="str">
        <f t="shared" si="83"/>
        <v>OK</v>
      </c>
      <c r="AB517" t="str">
        <f t="shared" si="84"/>
        <v>Invalid Discount</v>
      </c>
      <c r="AC517" t="str">
        <f>IF(OR(AB517="Invalid Discount",V517="Invalid Shipping"),
"Invalid",
IF(OR(Y517="Missing Region",
Z517="Missing Ship Mode",
AA517="Missing Discount",
X517="Flagged for Review"),
"Warning",
"Clean"))</f>
        <v>Invalid</v>
      </c>
      <c r="AD517">
        <f t="shared" si="85"/>
        <v>-7.0000000000000007E-2</v>
      </c>
      <c r="AE517">
        <f>N517*O517*(1-AD517)</f>
        <v>4770.5843000000004</v>
      </c>
      <c r="AF517">
        <f>AE517-R517</f>
        <v>2687.1743000000006</v>
      </c>
      <c r="AG517" s="3">
        <f t="shared" si="86"/>
        <v>0.56327991101635089</v>
      </c>
      <c r="AH517" t="str">
        <f t="shared" si="87"/>
        <v>April</v>
      </c>
      <c r="AI517">
        <f t="shared" si="88"/>
        <v>2025</v>
      </c>
    </row>
    <row r="518" spans="1:35">
      <c r="A518" t="s">
        <v>1660</v>
      </c>
      <c r="B518" s="2">
        <v>45563</v>
      </c>
      <c r="C518" s="2">
        <v>45569</v>
      </c>
      <c r="D518" t="s">
        <v>1661</v>
      </c>
      <c r="E518" t="s">
        <v>279</v>
      </c>
      <c r="F518" t="s">
        <v>109</v>
      </c>
      <c r="G518" t="s">
        <v>39</v>
      </c>
      <c r="H518" t="s">
        <v>365</v>
      </c>
      <c r="I518" t="s">
        <v>366</v>
      </c>
      <c r="J518" t="s">
        <v>88</v>
      </c>
      <c r="K518" t="s">
        <v>94</v>
      </c>
      <c r="L518" t="s">
        <v>1662</v>
      </c>
      <c r="M518" t="s">
        <v>73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169</v>
      </c>
      <c r="U518" t="s">
        <v>117</v>
      </c>
      <c r="V518" t="str">
        <f t="shared" si="79"/>
        <v>Valid</v>
      </c>
      <c r="W518">
        <f t="shared" si="80"/>
        <v>6</v>
      </c>
      <c r="Y518" t="str">
        <f t="shared" si="81"/>
        <v>OK</v>
      </c>
      <c r="Z518" t="str">
        <f t="shared" si="82"/>
        <v>OK</v>
      </c>
      <c r="AA518" t="str">
        <f t="shared" si="83"/>
        <v>OK</v>
      </c>
      <c r="AB518" t="str">
        <f t="shared" si="84"/>
        <v>Valid</v>
      </c>
      <c r="AC518" t="str">
        <f>IF(OR(AB518="Invalid Discount",V518="Invalid Shipping"),
"Invalid",
IF(OR(Y518="Missing Region",
Z518="Missing Ship Mode",
AA518="Missing Discount",
X518="Flagged for Review"),
"Warning",
"Clean"))</f>
        <v>Clean</v>
      </c>
      <c r="AD518">
        <f t="shared" si="85"/>
        <v>0</v>
      </c>
      <c r="AE518">
        <f>N518*O518*(1-AD518)</f>
        <v>2233.1799999999998</v>
      </c>
      <c r="AF518">
        <f>AE518-R518</f>
        <v>647.3599999999999</v>
      </c>
      <c r="AG518" s="3">
        <f t="shared" si="86"/>
        <v>0.28988258895386843</v>
      </c>
      <c r="AH518" t="str">
        <f t="shared" si="87"/>
        <v>September</v>
      </c>
      <c r="AI518">
        <f t="shared" si="88"/>
        <v>2024</v>
      </c>
    </row>
    <row r="519" spans="1:35">
      <c r="A519" t="s">
        <v>1663</v>
      </c>
      <c r="B519" s="2">
        <v>45802</v>
      </c>
      <c r="C519" s="2">
        <v>45804</v>
      </c>
      <c r="D519" t="s">
        <v>1664</v>
      </c>
      <c r="E519" t="s">
        <v>132</v>
      </c>
      <c r="F519" t="s">
        <v>38</v>
      </c>
      <c r="G519" t="s">
        <v>52</v>
      </c>
      <c r="H519" t="s">
        <v>53</v>
      </c>
      <c r="I519" t="s">
        <v>54</v>
      </c>
      <c r="J519" t="s">
        <v>55</v>
      </c>
      <c r="K519" t="s">
        <v>71</v>
      </c>
      <c r="L519" t="s">
        <v>1665</v>
      </c>
      <c r="M519" t="s">
        <v>45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116</v>
      </c>
      <c r="U519" t="s">
        <v>117</v>
      </c>
      <c r="V519" t="str">
        <f t="shared" si="79"/>
        <v>Valid</v>
      </c>
      <c r="W519">
        <f t="shared" si="80"/>
        <v>2</v>
      </c>
      <c r="Y519" t="str">
        <f t="shared" si="81"/>
        <v>OK</v>
      </c>
      <c r="Z519" t="str">
        <f t="shared" si="82"/>
        <v>OK</v>
      </c>
      <c r="AA519" t="str">
        <f t="shared" si="83"/>
        <v>OK</v>
      </c>
      <c r="AB519" t="str">
        <f t="shared" si="84"/>
        <v>Valid</v>
      </c>
      <c r="AC519" t="str">
        <f>IF(OR(AB519="Invalid Discount",V519="Invalid Shipping"),
"Invalid",
IF(OR(Y519="Missing Region",
Z519="Missing Ship Mode",
AA519="Missing Discount",
X519="Flagged for Review"),
"Warning",
"Clean"))</f>
        <v>Clean</v>
      </c>
      <c r="AD519">
        <f t="shared" si="85"/>
        <v>0.2</v>
      </c>
      <c r="AE519">
        <f>N519*O519*(1-AD519)</f>
        <v>11890.368000000002</v>
      </c>
      <c r="AF519">
        <f>AE519-R519</f>
        <v>2655.8380000000016</v>
      </c>
      <c r="AG519" s="3">
        <f t="shared" si="86"/>
        <v>0.22336045444514427</v>
      </c>
      <c r="AH519" t="str">
        <f t="shared" si="87"/>
        <v>May</v>
      </c>
      <c r="AI519">
        <f t="shared" si="88"/>
        <v>2025</v>
      </c>
    </row>
    <row r="520" spans="1:35">
      <c r="A520" t="s">
        <v>1666</v>
      </c>
      <c r="B520" s="2">
        <v>45777</v>
      </c>
      <c r="C520" s="2">
        <v>45773</v>
      </c>
      <c r="D520" t="s">
        <v>1667</v>
      </c>
      <c r="E520" t="s">
        <v>176</v>
      </c>
      <c r="F520" t="s">
        <v>104</v>
      </c>
      <c r="G520" t="s">
        <v>52</v>
      </c>
      <c r="H520" t="s">
        <v>53</v>
      </c>
      <c r="I520" t="s">
        <v>54</v>
      </c>
      <c r="J520" t="s">
        <v>55</v>
      </c>
      <c r="K520" t="s">
        <v>56</v>
      </c>
      <c r="L520" t="s">
        <v>1668</v>
      </c>
      <c r="M520" t="s">
        <v>64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46</v>
      </c>
      <c r="U520" t="s">
        <v>82</v>
      </c>
      <c r="V520" t="str">
        <f t="shared" si="79"/>
        <v>Invalid Shipping</v>
      </c>
      <c r="W520">
        <f t="shared" si="80"/>
        <v>-4</v>
      </c>
      <c r="Y520" t="str">
        <f t="shared" si="81"/>
        <v>OK</v>
      </c>
      <c r="Z520" t="str">
        <f t="shared" si="82"/>
        <v>OK</v>
      </c>
      <c r="AA520" t="str">
        <f t="shared" si="83"/>
        <v>OK</v>
      </c>
      <c r="AB520" t="str">
        <f t="shared" si="84"/>
        <v>Valid</v>
      </c>
      <c r="AC520" t="str">
        <f>IF(OR(AB520="Invalid Discount",V520="Invalid Shipping"),
"Invalid",
IF(OR(Y520="Missing Region",
Z520="Missing Ship Mode",
AA520="Missing Discount",
X520="Flagged for Review"),
"Warning",
"Clean"))</f>
        <v>Invalid</v>
      </c>
      <c r="AD520">
        <f t="shared" si="85"/>
        <v>0.25</v>
      </c>
      <c r="AE520">
        <f>N520*O520*(1-AD520)</f>
        <v>8421.682499999999</v>
      </c>
      <c r="AF520">
        <f>AE520-R520</f>
        <v>1887.2124999999987</v>
      </c>
      <c r="AG520" s="3">
        <f t="shared" si="86"/>
        <v>0.22408972316398759</v>
      </c>
      <c r="AH520" t="str">
        <f t="shared" si="87"/>
        <v>April</v>
      </c>
      <c r="AI520">
        <f t="shared" si="88"/>
        <v>2025</v>
      </c>
    </row>
    <row r="521" spans="1:35">
      <c r="A521" t="s">
        <v>1669</v>
      </c>
      <c r="B521" s="2">
        <v>45841</v>
      </c>
      <c r="C521" s="2">
        <v>45845</v>
      </c>
      <c r="D521" t="s">
        <v>1670</v>
      </c>
      <c r="E521" t="s">
        <v>128</v>
      </c>
      <c r="F521" t="s">
        <v>38</v>
      </c>
      <c r="G521" t="s">
        <v>39</v>
      </c>
      <c r="H521" t="s">
        <v>150</v>
      </c>
      <c r="I521" t="s">
        <v>151</v>
      </c>
      <c r="J521" t="s">
        <v>55</v>
      </c>
      <c r="K521" t="s">
        <v>56</v>
      </c>
      <c r="L521" t="s">
        <v>1671</v>
      </c>
      <c r="M521" t="s">
        <v>73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125</v>
      </c>
      <c r="U521" t="s">
        <v>82</v>
      </c>
      <c r="V521" t="str">
        <f t="shared" si="79"/>
        <v>Valid</v>
      </c>
      <c r="W521">
        <f t="shared" si="80"/>
        <v>4</v>
      </c>
      <c r="Y521" t="str">
        <f t="shared" si="81"/>
        <v>OK</v>
      </c>
      <c r="Z521" t="str">
        <f t="shared" si="82"/>
        <v>OK</v>
      </c>
      <c r="AA521" t="str">
        <f t="shared" si="83"/>
        <v>OK</v>
      </c>
      <c r="AB521" t="str">
        <f t="shared" si="84"/>
        <v>Valid</v>
      </c>
      <c r="AC521" t="str">
        <f>IF(OR(AB521="Invalid Discount",V521="Invalid Shipping"),
"Invalid",
IF(OR(Y521="Missing Region",
Z521="Missing Ship Mode",
AA521="Missing Discount",
X521="Flagged for Review"),
"Warning",
"Clean"))</f>
        <v>Clean</v>
      </c>
      <c r="AD521">
        <f t="shared" si="85"/>
        <v>0.2</v>
      </c>
      <c r="AE521">
        <f>N521*O521*(1-AD521)</f>
        <v>13968.672</v>
      </c>
      <c r="AF521">
        <f>AE521-R521</f>
        <v>5111.0920000000006</v>
      </c>
      <c r="AG521" s="3">
        <f t="shared" si="86"/>
        <v>0.36589677243477409</v>
      </c>
      <c r="AH521" t="str">
        <f t="shared" si="87"/>
        <v>July</v>
      </c>
      <c r="AI521">
        <f t="shared" si="88"/>
        <v>2025</v>
      </c>
    </row>
    <row r="522" spans="1:35">
      <c r="A522" t="s">
        <v>1672</v>
      </c>
      <c r="B522" s="2">
        <v>45489</v>
      </c>
      <c r="C522" s="2">
        <v>45496</v>
      </c>
      <c r="D522" t="s">
        <v>1673</v>
      </c>
      <c r="E522" t="s">
        <v>142</v>
      </c>
      <c r="F522" t="s">
        <v>109</v>
      </c>
      <c r="G522" t="s">
        <v>68</v>
      </c>
      <c r="H522" t="s">
        <v>189</v>
      </c>
      <c r="I522" t="s">
        <v>190</v>
      </c>
      <c r="J522" t="s">
        <v>88</v>
      </c>
      <c r="K522" t="s">
        <v>289</v>
      </c>
      <c r="L522" t="s">
        <v>1674</v>
      </c>
      <c r="M522" t="s">
        <v>58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46</v>
      </c>
      <c r="U522" t="s">
        <v>47</v>
      </c>
      <c r="V522" t="str">
        <f t="shared" si="79"/>
        <v>Valid</v>
      </c>
      <c r="W522">
        <f t="shared" si="80"/>
        <v>7</v>
      </c>
      <c r="Y522" t="str">
        <f t="shared" si="81"/>
        <v>OK</v>
      </c>
      <c r="Z522" t="str">
        <f t="shared" si="82"/>
        <v>OK</v>
      </c>
      <c r="AA522" t="str">
        <f t="shared" si="83"/>
        <v>OK</v>
      </c>
      <c r="AB522" t="str">
        <f t="shared" si="84"/>
        <v>Valid</v>
      </c>
      <c r="AC522" t="str">
        <f>IF(OR(AB522="Invalid Discount",V522="Invalid Shipping"),
"Invalid",
IF(OR(Y522="Missing Region",
Z522="Missing Ship Mode",
AA522="Missing Discount",
X522="Flagged for Review"),
"Warning",
"Clean"))</f>
        <v>Clean</v>
      </c>
      <c r="AD522">
        <f t="shared" si="85"/>
        <v>0.05</v>
      </c>
      <c r="AE522">
        <f>N522*O522*(1-AD522)</f>
        <v>1611.1144999999999</v>
      </c>
      <c r="AF522">
        <f>AE522-R522</f>
        <v>715.96449999999993</v>
      </c>
      <c r="AG522" s="3">
        <f t="shared" si="86"/>
        <v>0.44439082386757739</v>
      </c>
      <c r="AH522" t="str">
        <f t="shared" si="87"/>
        <v>July</v>
      </c>
      <c r="AI522">
        <f t="shared" si="88"/>
        <v>2024</v>
      </c>
    </row>
    <row r="523" spans="1:35">
      <c r="A523" t="s">
        <v>1675</v>
      </c>
      <c r="B523" s="2">
        <v>45741</v>
      </c>
      <c r="C523" s="2">
        <v>45748</v>
      </c>
      <c r="D523" t="s">
        <v>1676</v>
      </c>
      <c r="E523" t="s">
        <v>176</v>
      </c>
      <c r="F523" t="s">
        <v>38</v>
      </c>
      <c r="G523" t="s">
        <v>39</v>
      </c>
      <c r="H523" t="s">
        <v>136</v>
      </c>
      <c r="I523" t="s">
        <v>137</v>
      </c>
      <c r="J523" t="s">
        <v>42</v>
      </c>
      <c r="K523" t="s">
        <v>105</v>
      </c>
      <c r="L523" t="s">
        <v>1677</v>
      </c>
      <c r="M523" t="s">
        <v>45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46</v>
      </c>
      <c r="U523" t="s">
        <v>47</v>
      </c>
      <c r="V523" t="str">
        <f t="shared" si="79"/>
        <v>Valid</v>
      </c>
      <c r="W523">
        <f t="shared" si="80"/>
        <v>7</v>
      </c>
      <c r="Y523" t="str">
        <f t="shared" si="81"/>
        <v>OK</v>
      </c>
      <c r="Z523" t="str">
        <f t="shared" si="82"/>
        <v>OK</v>
      </c>
      <c r="AA523" t="str">
        <f t="shared" si="83"/>
        <v>OK</v>
      </c>
      <c r="AB523" t="str">
        <f t="shared" si="84"/>
        <v>Valid</v>
      </c>
      <c r="AC523" t="str">
        <f>IF(OR(AB523="Invalid Discount",V523="Invalid Shipping"),
"Invalid",
IF(OR(Y523="Missing Region",
Z523="Missing Ship Mode",
AA523="Missing Discount",
X523="Flagged for Review"),
"Warning",
"Clean"))</f>
        <v>Clean</v>
      </c>
      <c r="AD523">
        <f t="shared" si="85"/>
        <v>0.05</v>
      </c>
      <c r="AE523">
        <f>N523*O523*(1-AD523)</f>
        <v>12495.027</v>
      </c>
      <c r="AF523">
        <f>AE523-R523</f>
        <v>3310.5069999999996</v>
      </c>
      <c r="AG523" s="3">
        <f t="shared" si="86"/>
        <v>0.26494596610315446</v>
      </c>
      <c r="AH523" t="str">
        <f t="shared" si="87"/>
        <v>March</v>
      </c>
      <c r="AI523">
        <f t="shared" si="88"/>
        <v>2025</v>
      </c>
    </row>
    <row r="524" spans="1:35">
      <c r="A524" t="s">
        <v>1678</v>
      </c>
      <c r="B524" s="2">
        <v>45716</v>
      </c>
      <c r="C524" s="2">
        <v>45724</v>
      </c>
      <c r="D524" t="s">
        <v>1679</v>
      </c>
      <c r="E524" t="s">
        <v>93</v>
      </c>
      <c r="F524" t="s">
        <v>51</v>
      </c>
      <c r="G524" t="s">
        <v>52</v>
      </c>
      <c r="H524" t="s">
        <v>243</v>
      </c>
      <c r="I524" t="s">
        <v>244</v>
      </c>
      <c r="J524" t="s">
        <v>88</v>
      </c>
      <c r="K524" t="s">
        <v>185</v>
      </c>
      <c r="L524" t="s">
        <v>1680</v>
      </c>
      <c r="M524" t="s">
        <v>64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46</v>
      </c>
      <c r="U524" t="s">
        <v>47</v>
      </c>
      <c r="V524" t="str">
        <f t="shared" si="79"/>
        <v>Valid</v>
      </c>
      <c r="W524">
        <f t="shared" si="80"/>
        <v>8</v>
      </c>
      <c r="Y524" t="str">
        <f t="shared" si="81"/>
        <v>OK</v>
      </c>
      <c r="Z524" t="str">
        <f t="shared" si="82"/>
        <v>OK</v>
      </c>
      <c r="AA524" t="str">
        <f t="shared" si="83"/>
        <v>OK</v>
      </c>
      <c r="AB524" t="str">
        <f t="shared" si="84"/>
        <v>Valid</v>
      </c>
      <c r="AC524" t="str">
        <f>IF(OR(AB524="Invalid Discount",V524="Invalid Shipping"),
"Invalid",
IF(OR(Y524="Missing Region",
Z524="Missing Ship Mode",
AA524="Missing Discount",
X524="Flagged for Review"),
"Warning",
"Clean"))</f>
        <v>Clean</v>
      </c>
      <c r="AD524">
        <f t="shared" si="85"/>
        <v>0</v>
      </c>
      <c r="AE524">
        <f>N524*O524*(1-AD524)</f>
        <v>33034.86</v>
      </c>
      <c r="AF524">
        <f>AE524-R524</f>
        <v>8495.0299999999988</v>
      </c>
      <c r="AG524" s="3">
        <f t="shared" si="86"/>
        <v>0.25715350390466307</v>
      </c>
      <c r="AH524" t="str">
        <f t="shared" si="87"/>
        <v>February</v>
      </c>
      <c r="AI524">
        <f t="shared" si="88"/>
        <v>2025</v>
      </c>
    </row>
    <row r="525" spans="1:35">
      <c r="A525" t="s">
        <v>1681</v>
      </c>
      <c r="B525" s="2">
        <v>45384</v>
      </c>
      <c r="C525" s="2">
        <v>45385</v>
      </c>
      <c r="D525" t="s">
        <v>1682</v>
      </c>
      <c r="E525" t="s">
        <v>279</v>
      </c>
      <c r="F525" t="s">
        <v>109</v>
      </c>
      <c r="G525" t="s">
        <v>77</v>
      </c>
      <c r="H525" t="s">
        <v>204</v>
      </c>
      <c r="I525" t="s">
        <v>205</v>
      </c>
      <c r="J525" t="s">
        <v>42</v>
      </c>
      <c r="K525" t="s">
        <v>43</v>
      </c>
      <c r="L525" t="s">
        <v>1683</v>
      </c>
      <c r="M525" t="s">
        <v>45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46</v>
      </c>
      <c r="U525" t="s">
        <v>117</v>
      </c>
      <c r="V525" t="str">
        <f t="shared" si="79"/>
        <v>Valid</v>
      </c>
      <c r="W525">
        <f t="shared" si="80"/>
        <v>1</v>
      </c>
      <c r="Y525" t="str">
        <f t="shared" si="81"/>
        <v>OK</v>
      </c>
      <c r="Z525" t="str">
        <f t="shared" si="82"/>
        <v>OK</v>
      </c>
      <c r="AA525" t="str">
        <f t="shared" si="83"/>
        <v>OK</v>
      </c>
      <c r="AB525" t="str">
        <f t="shared" si="84"/>
        <v>Valid</v>
      </c>
      <c r="AC525" t="str">
        <f>IF(OR(AB525="Invalid Discount",V525="Invalid Shipping"),
"Invalid",
IF(OR(Y525="Missing Region",
Z525="Missing Ship Mode",
AA525="Missing Discount",
X525="Flagged for Review"),
"Warning",
"Clean"))</f>
        <v>Clean</v>
      </c>
      <c r="AD525">
        <f t="shared" si="85"/>
        <v>0</v>
      </c>
      <c r="AE525">
        <f>N525*O525*(1-AD525)</f>
        <v>5805.26</v>
      </c>
      <c r="AF525">
        <f>AE525-R525</f>
        <v>1150.9000000000005</v>
      </c>
      <c r="AG525" s="3">
        <f t="shared" si="86"/>
        <v>0.19825124111581574</v>
      </c>
      <c r="AH525" t="str">
        <f t="shared" si="87"/>
        <v>April</v>
      </c>
      <c r="AI525">
        <f t="shared" si="88"/>
        <v>2024</v>
      </c>
    </row>
    <row r="526" spans="1:35">
      <c r="A526" t="s">
        <v>1684</v>
      </c>
      <c r="B526" s="2">
        <v>45626</v>
      </c>
      <c r="C526" s="2">
        <v>45627</v>
      </c>
      <c r="D526" t="s">
        <v>1685</v>
      </c>
      <c r="E526" t="s">
        <v>76</v>
      </c>
      <c r="F526" t="s">
        <v>104</v>
      </c>
      <c r="G526" t="s">
        <v>77</v>
      </c>
      <c r="H526" t="s">
        <v>194</v>
      </c>
      <c r="I526" t="s">
        <v>195</v>
      </c>
      <c r="J526" t="s">
        <v>55</v>
      </c>
      <c r="K526" t="s">
        <v>80</v>
      </c>
      <c r="L526" t="s">
        <v>1686</v>
      </c>
      <c r="M526" t="s">
        <v>64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46</v>
      </c>
      <c r="U526" t="s">
        <v>47</v>
      </c>
      <c r="V526" t="str">
        <f t="shared" si="79"/>
        <v>Valid</v>
      </c>
      <c r="W526">
        <f t="shared" si="80"/>
        <v>1</v>
      </c>
      <c r="Y526" t="str">
        <f t="shared" si="81"/>
        <v>OK</v>
      </c>
      <c r="Z526" t="str">
        <f t="shared" si="82"/>
        <v>OK</v>
      </c>
      <c r="AA526" t="str">
        <f t="shared" si="83"/>
        <v>OK</v>
      </c>
      <c r="AB526" t="str">
        <f t="shared" si="84"/>
        <v>Valid</v>
      </c>
      <c r="AC526" t="str">
        <f>IF(OR(AB526="Invalid Discount",V526="Invalid Shipping"),
"Invalid",
IF(OR(Y526="Missing Region",
Z526="Missing Ship Mode",
AA526="Missing Discount",
X526="Flagged for Review"),
"Warning",
"Clean"))</f>
        <v>Clean</v>
      </c>
      <c r="AD526">
        <f t="shared" si="85"/>
        <v>0.1</v>
      </c>
      <c r="AE526">
        <f>N526*O526*(1-AD526)</f>
        <v>34079.616000000002</v>
      </c>
      <c r="AF526">
        <f>AE526-R526</f>
        <v>12208.226000000002</v>
      </c>
      <c r="AG526" s="3">
        <f t="shared" si="86"/>
        <v>0.35822663025311091</v>
      </c>
      <c r="AH526" t="str">
        <f t="shared" si="87"/>
        <v>November</v>
      </c>
      <c r="AI526">
        <f t="shared" si="88"/>
        <v>2024</v>
      </c>
    </row>
    <row r="527" spans="1:35">
      <c r="A527" t="s">
        <v>1687</v>
      </c>
      <c r="B527" s="2">
        <v>45582</v>
      </c>
      <c r="C527" s="2">
        <v>45582</v>
      </c>
      <c r="D527" t="s">
        <v>1688</v>
      </c>
      <c r="E527" t="s">
        <v>128</v>
      </c>
      <c r="F527" t="s">
        <v>109</v>
      </c>
      <c r="G527" t="s">
        <v>52</v>
      </c>
      <c r="H527" t="s">
        <v>113</v>
      </c>
      <c r="I527" t="s">
        <v>114</v>
      </c>
      <c r="J527" t="s">
        <v>55</v>
      </c>
      <c r="K527" t="s">
        <v>80</v>
      </c>
      <c r="L527" t="s">
        <v>1689</v>
      </c>
      <c r="M527" t="s">
        <v>73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46</v>
      </c>
      <c r="U527" t="s">
        <v>47</v>
      </c>
      <c r="V527" t="str">
        <f t="shared" si="79"/>
        <v>Valid</v>
      </c>
      <c r="W527">
        <f t="shared" si="80"/>
        <v>0</v>
      </c>
      <c r="Y527" t="str">
        <f t="shared" si="81"/>
        <v>OK</v>
      </c>
      <c r="Z527" t="str">
        <f t="shared" si="82"/>
        <v>OK</v>
      </c>
      <c r="AA527" t="str">
        <f t="shared" si="83"/>
        <v>OK</v>
      </c>
      <c r="AB527" t="str">
        <f t="shared" si="84"/>
        <v>Valid</v>
      </c>
      <c r="AC527" t="str">
        <f>IF(OR(AB527="Invalid Discount",V527="Invalid Shipping"),
"Invalid",
IF(OR(Y527="Missing Region",
Z527="Missing Ship Mode",
AA527="Missing Discount",
X527="Flagged for Review"),
"Warning",
"Clean"))</f>
        <v>Clean</v>
      </c>
      <c r="AD527">
        <f t="shared" si="85"/>
        <v>0.1</v>
      </c>
      <c r="AE527">
        <f>N527*O527*(1-AD527)</f>
        <v>11359.800000000001</v>
      </c>
      <c r="AF527">
        <f>AE527-R527</f>
        <v>4297.3600000000015</v>
      </c>
      <c r="AG527" s="3">
        <f t="shared" si="86"/>
        <v>0.37829539252451638</v>
      </c>
      <c r="AH527" t="str">
        <f t="shared" si="87"/>
        <v>October</v>
      </c>
      <c r="AI527">
        <f t="shared" si="88"/>
        <v>2024</v>
      </c>
    </row>
    <row r="528" spans="1:35">
      <c r="A528" t="s">
        <v>1690</v>
      </c>
      <c r="B528" s="2">
        <v>45856</v>
      </c>
      <c r="C528" s="2">
        <v>45859</v>
      </c>
      <c r="D528" t="s">
        <v>1691</v>
      </c>
      <c r="E528" t="s">
        <v>128</v>
      </c>
      <c r="F528" t="s">
        <v>38</v>
      </c>
      <c r="G528" t="s">
        <v>52</v>
      </c>
      <c r="H528" t="s">
        <v>53</v>
      </c>
      <c r="I528" t="s">
        <v>54</v>
      </c>
      <c r="J528" t="s">
        <v>55</v>
      </c>
      <c r="K528" t="s">
        <v>56</v>
      </c>
      <c r="L528" t="s">
        <v>1692</v>
      </c>
      <c r="M528" t="s">
        <v>45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46</v>
      </c>
      <c r="U528" t="s">
        <v>47</v>
      </c>
      <c r="V528" t="str">
        <f t="shared" si="79"/>
        <v>Valid</v>
      </c>
      <c r="W528">
        <f t="shared" si="80"/>
        <v>3</v>
      </c>
      <c r="Y528" t="str">
        <f t="shared" si="81"/>
        <v>OK</v>
      </c>
      <c r="Z528" t="str">
        <f t="shared" si="82"/>
        <v>OK</v>
      </c>
      <c r="AA528" t="str">
        <f t="shared" si="83"/>
        <v>Missing Discount</v>
      </c>
      <c r="AB528" t="str">
        <f t="shared" si="84"/>
        <v>Valid</v>
      </c>
      <c r="AC528" t="str">
        <f>IF(OR(AB528="Invalid Discount",V528="Invalid Shipping"),
"Invalid",
IF(OR(Y528="Missing Region",
Z528="Missing Ship Mode",
AA528="Missing Discount",
X528="Flagged for Review"),
"Warning",
"Clean"))</f>
        <v>Warning</v>
      </c>
      <c r="AD528">
        <f t="shared" si="85"/>
        <v>0</v>
      </c>
      <c r="AE528">
        <f>N528*O528*(1-AD528)</f>
        <v>1136.1600000000001</v>
      </c>
      <c r="AF528">
        <f>AE528-R528</f>
        <v>564.08000000000004</v>
      </c>
      <c r="AG528" s="3">
        <f t="shared" si="86"/>
        <v>0.49647936910294327</v>
      </c>
      <c r="AH528" t="str">
        <f t="shared" si="87"/>
        <v>July</v>
      </c>
      <c r="AI528">
        <f t="shared" si="88"/>
        <v>2025</v>
      </c>
    </row>
    <row r="529" spans="1:35">
      <c r="A529" t="s">
        <v>1693</v>
      </c>
      <c r="B529" s="2">
        <v>45931</v>
      </c>
      <c r="C529" s="2">
        <v>45935</v>
      </c>
      <c r="D529" t="s">
        <v>1694</v>
      </c>
      <c r="E529" t="s">
        <v>103</v>
      </c>
      <c r="F529" t="s">
        <v>109</v>
      </c>
      <c r="G529" t="s">
        <v>39</v>
      </c>
      <c r="H529" t="s">
        <v>251</v>
      </c>
      <c r="I529" t="s">
        <v>252</v>
      </c>
      <c r="J529" t="s">
        <v>42</v>
      </c>
      <c r="K529" t="s">
        <v>43</v>
      </c>
      <c r="L529" t="s">
        <v>1695</v>
      </c>
      <c r="M529" t="s">
        <v>64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46</v>
      </c>
      <c r="U529" t="s">
        <v>47</v>
      </c>
      <c r="V529" t="str">
        <f t="shared" si="79"/>
        <v>Valid</v>
      </c>
      <c r="W529">
        <f t="shared" si="80"/>
        <v>4</v>
      </c>
      <c r="Y529" t="str">
        <f t="shared" si="81"/>
        <v>OK</v>
      </c>
      <c r="Z529" t="str">
        <f t="shared" si="82"/>
        <v>OK</v>
      </c>
      <c r="AA529" t="str">
        <f t="shared" si="83"/>
        <v>OK</v>
      </c>
      <c r="AB529" t="str">
        <f t="shared" si="84"/>
        <v>Valid</v>
      </c>
      <c r="AC529" t="str">
        <f>IF(OR(AB529="Invalid Discount",V529="Invalid Shipping"),
"Invalid",
IF(OR(Y529="Missing Region",
Z529="Missing Ship Mode",
AA529="Missing Discount",
X529="Flagged for Review"),
"Warning",
"Clean"))</f>
        <v>Clean</v>
      </c>
      <c r="AD529">
        <f t="shared" si="85"/>
        <v>0.15</v>
      </c>
      <c r="AE529">
        <f>N529*O529*(1-AD529)</f>
        <v>13802.13</v>
      </c>
      <c r="AF529">
        <f>AE529-R529</f>
        <v>3726.1999999999989</v>
      </c>
      <c r="AG529" s="3">
        <f t="shared" si="86"/>
        <v>0.26997282303528508</v>
      </c>
      <c r="AH529" t="str">
        <f t="shared" si="87"/>
        <v>October</v>
      </c>
      <c r="AI529">
        <f t="shared" si="88"/>
        <v>2025</v>
      </c>
    </row>
    <row r="530" spans="1:35">
      <c r="A530" t="s">
        <v>1696</v>
      </c>
      <c r="B530" s="2">
        <v>45572</v>
      </c>
      <c r="C530" s="2">
        <v>45574</v>
      </c>
      <c r="D530" t="s">
        <v>1697</v>
      </c>
      <c r="E530" t="s">
        <v>176</v>
      </c>
      <c r="F530" t="s">
        <v>38</v>
      </c>
      <c r="G530" t="s">
        <v>68</v>
      </c>
      <c r="H530" t="s">
        <v>262</v>
      </c>
      <c r="I530" t="s">
        <v>263</v>
      </c>
      <c r="J530" t="s">
        <v>42</v>
      </c>
      <c r="K530" t="s">
        <v>167</v>
      </c>
      <c r="L530" t="s">
        <v>1698</v>
      </c>
      <c r="M530" t="s">
        <v>73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125</v>
      </c>
      <c r="U530" t="s">
        <v>117</v>
      </c>
      <c r="V530" t="str">
        <f t="shared" si="79"/>
        <v>Valid</v>
      </c>
      <c r="W530">
        <f t="shared" si="80"/>
        <v>2</v>
      </c>
      <c r="Y530" t="str">
        <f t="shared" si="81"/>
        <v>OK</v>
      </c>
      <c r="Z530" t="str">
        <f t="shared" si="82"/>
        <v>OK</v>
      </c>
      <c r="AA530" t="str">
        <f t="shared" si="83"/>
        <v>OK</v>
      </c>
      <c r="AB530" t="str">
        <f t="shared" si="84"/>
        <v>Valid</v>
      </c>
      <c r="AC530" t="str">
        <f>IF(OR(AB530="Invalid Discount",V530="Invalid Shipping"),
"Invalid",
IF(OR(Y530="Missing Region",
Z530="Missing Ship Mode",
AA530="Missing Discount",
X530="Flagged for Review"),
"Warning",
"Clean"))</f>
        <v>Clean</v>
      </c>
      <c r="AD530">
        <f t="shared" si="85"/>
        <v>0.05</v>
      </c>
      <c r="AE530">
        <f>N530*O530*(1-AD530)</f>
        <v>29558.119500000001</v>
      </c>
      <c r="AF530">
        <f>AE530-R530</f>
        <v>8255.9894999999997</v>
      </c>
      <c r="AG530" s="3">
        <f t="shared" si="86"/>
        <v>0.27931376013281223</v>
      </c>
      <c r="AH530" t="str">
        <f t="shared" si="87"/>
        <v>October</v>
      </c>
      <c r="AI530">
        <f t="shared" si="88"/>
        <v>2024</v>
      </c>
    </row>
    <row r="531" spans="1:35">
      <c r="A531" t="s">
        <v>1699</v>
      </c>
      <c r="B531" s="2">
        <v>45328</v>
      </c>
      <c r="C531" s="2">
        <v>45330</v>
      </c>
      <c r="D531" t="s">
        <v>744</v>
      </c>
      <c r="E531" t="s">
        <v>37</v>
      </c>
      <c r="F531" t="s">
        <v>38</v>
      </c>
      <c r="G531" t="s">
        <v>52</v>
      </c>
      <c r="H531" t="s">
        <v>243</v>
      </c>
      <c r="I531" t="s">
        <v>244</v>
      </c>
      <c r="J531" t="s">
        <v>55</v>
      </c>
      <c r="K531" t="s">
        <v>172</v>
      </c>
      <c r="L531" t="s">
        <v>1700</v>
      </c>
      <c r="M531" t="s">
        <v>45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46</v>
      </c>
      <c r="U531" t="s">
        <v>47</v>
      </c>
      <c r="V531" t="str">
        <f t="shared" si="79"/>
        <v>Valid</v>
      </c>
      <c r="W531">
        <f t="shared" si="80"/>
        <v>2</v>
      </c>
      <c r="Y531" t="str">
        <f t="shared" si="81"/>
        <v>OK</v>
      </c>
      <c r="Z531" t="str">
        <f t="shared" si="82"/>
        <v>OK</v>
      </c>
      <c r="AA531" t="str">
        <f t="shared" si="83"/>
        <v>OK</v>
      </c>
      <c r="AB531" t="str">
        <f t="shared" si="84"/>
        <v>Valid</v>
      </c>
      <c r="AC531" t="str">
        <f>IF(OR(AB531="Invalid Discount",V531="Invalid Shipping"),
"Invalid",
IF(OR(Y531="Missing Region",
Z531="Missing Ship Mode",
AA531="Missing Discount",
X531="Flagged for Review"),
"Warning",
"Clean"))</f>
        <v>Clean</v>
      </c>
      <c r="AD531">
        <f t="shared" si="85"/>
        <v>0</v>
      </c>
      <c r="AE531">
        <f>N531*O531*(1-AD531)</f>
        <v>16400.25</v>
      </c>
      <c r="AF531">
        <f>AE531-R531</f>
        <v>4253.2900000000009</v>
      </c>
      <c r="AG531" s="3">
        <f t="shared" si="86"/>
        <v>0.25934299782015524</v>
      </c>
      <c r="AH531" t="str">
        <f t="shared" si="87"/>
        <v>February</v>
      </c>
      <c r="AI531">
        <f t="shared" si="88"/>
        <v>2024</v>
      </c>
    </row>
    <row r="532" spans="1:35">
      <c r="A532" t="s">
        <v>1701</v>
      </c>
      <c r="B532" s="2">
        <v>45807</v>
      </c>
      <c r="C532" s="2">
        <v>45809</v>
      </c>
      <c r="D532" t="s">
        <v>1702</v>
      </c>
      <c r="E532" t="s">
        <v>132</v>
      </c>
      <c r="F532" t="s">
        <v>109</v>
      </c>
      <c r="G532" t="s">
        <v>68</v>
      </c>
      <c r="H532" t="s">
        <v>262</v>
      </c>
      <c r="I532" t="s">
        <v>263</v>
      </c>
      <c r="J532" t="s">
        <v>42</v>
      </c>
      <c r="K532" t="s">
        <v>167</v>
      </c>
      <c r="L532" t="s">
        <v>1703</v>
      </c>
      <c r="M532" t="s">
        <v>73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46</v>
      </c>
      <c r="U532" t="s">
        <v>47</v>
      </c>
      <c r="V532" t="str">
        <f t="shared" si="79"/>
        <v>Valid</v>
      </c>
      <c r="W532">
        <f t="shared" si="80"/>
        <v>2</v>
      </c>
      <c r="Y532" t="str">
        <f t="shared" si="81"/>
        <v>OK</v>
      </c>
      <c r="Z532" t="str">
        <f t="shared" si="82"/>
        <v>OK</v>
      </c>
      <c r="AA532" t="str">
        <f t="shared" si="83"/>
        <v>OK</v>
      </c>
      <c r="AB532" t="str">
        <f t="shared" si="84"/>
        <v>Valid</v>
      </c>
      <c r="AC532" t="str">
        <f>IF(OR(AB532="Invalid Discount",V532="Invalid Shipping"),
"Invalid",
IF(OR(Y532="Missing Region",
Z532="Missing Ship Mode",
AA532="Missing Discount",
X532="Flagged for Review"),
"Warning",
"Clean"))</f>
        <v>Clean</v>
      </c>
      <c r="AD532">
        <f t="shared" si="85"/>
        <v>0.05</v>
      </c>
      <c r="AE532">
        <f>N532*O532*(1-AD532)</f>
        <v>17053.0605</v>
      </c>
      <c r="AF532">
        <f>AE532-R532</f>
        <v>6310.6805000000004</v>
      </c>
      <c r="AG532" s="3">
        <f t="shared" si="86"/>
        <v>0.37006146198801093</v>
      </c>
      <c r="AH532" t="str">
        <f t="shared" si="87"/>
        <v>May</v>
      </c>
      <c r="AI532">
        <f t="shared" si="88"/>
        <v>2025</v>
      </c>
    </row>
    <row r="533" spans="1:35">
      <c r="A533" t="s">
        <v>1704</v>
      </c>
      <c r="B533" s="2">
        <v>45505</v>
      </c>
      <c r="C533" s="2">
        <v>45512</v>
      </c>
      <c r="D533" t="s">
        <v>1705</v>
      </c>
      <c r="E533" t="s">
        <v>176</v>
      </c>
      <c r="F533" t="s">
        <v>51</v>
      </c>
      <c r="G533" t="s">
        <v>77</v>
      </c>
      <c r="H533" t="s">
        <v>78</v>
      </c>
      <c r="I533" t="s">
        <v>79</v>
      </c>
      <c r="J533" t="s">
        <v>42</v>
      </c>
      <c r="K533" t="s">
        <v>138</v>
      </c>
      <c r="L533" t="s">
        <v>1706</v>
      </c>
      <c r="M533" t="s">
        <v>219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46</v>
      </c>
      <c r="U533" t="s">
        <v>47</v>
      </c>
      <c r="V533" t="str">
        <f t="shared" si="79"/>
        <v>Valid</v>
      </c>
      <c r="W533">
        <f t="shared" si="80"/>
        <v>7</v>
      </c>
      <c r="Y533" t="str">
        <f t="shared" si="81"/>
        <v>OK</v>
      </c>
      <c r="Z533" t="str">
        <f t="shared" si="82"/>
        <v>Missing Ship Mode</v>
      </c>
      <c r="AA533" t="str">
        <f t="shared" si="83"/>
        <v>OK</v>
      </c>
      <c r="AB533" t="str">
        <f t="shared" si="84"/>
        <v>Valid</v>
      </c>
      <c r="AC533" t="str">
        <f>IF(OR(AB533="Invalid Discount",V533="Invalid Shipping"),
"Invalid",
IF(OR(Y533="Missing Region",
Z533="Missing Ship Mode",
AA533="Missing Discount",
X533="Flagged for Review"),
"Warning",
"Clean"))</f>
        <v>Warning</v>
      </c>
      <c r="AD533">
        <f t="shared" si="85"/>
        <v>0.1</v>
      </c>
      <c r="AE533">
        <f>N533*O533*(1-AD533)</f>
        <v>398.67300000000006</v>
      </c>
      <c r="AF533">
        <f>AE533-R533</f>
        <v>87.013000000000034</v>
      </c>
      <c r="AG533" s="3">
        <f t="shared" si="86"/>
        <v>0.21825656615822997</v>
      </c>
      <c r="AH533" t="str">
        <f t="shared" si="87"/>
        <v>August</v>
      </c>
      <c r="AI533">
        <f t="shared" si="88"/>
        <v>2024</v>
      </c>
    </row>
    <row r="534" spans="1:35">
      <c r="A534" t="s">
        <v>1707</v>
      </c>
      <c r="B534" s="2">
        <v>45935</v>
      </c>
      <c r="C534" s="2">
        <v>45940</v>
      </c>
      <c r="D534" t="s">
        <v>1708</v>
      </c>
      <c r="E534" t="s">
        <v>128</v>
      </c>
      <c r="F534" t="s">
        <v>104</v>
      </c>
      <c r="G534" t="s">
        <v>52</v>
      </c>
      <c r="H534" t="s">
        <v>180</v>
      </c>
      <c r="I534" t="s">
        <v>181</v>
      </c>
      <c r="J534" t="s">
        <v>55</v>
      </c>
      <c r="K534" t="s">
        <v>56</v>
      </c>
      <c r="L534" t="s">
        <v>1709</v>
      </c>
      <c r="M534" t="s">
        <v>45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169</v>
      </c>
      <c r="U534" t="s">
        <v>82</v>
      </c>
      <c r="V534" t="str">
        <f t="shared" si="79"/>
        <v>Valid</v>
      </c>
      <c r="W534">
        <f t="shared" si="80"/>
        <v>5</v>
      </c>
      <c r="Y534" t="str">
        <f t="shared" si="81"/>
        <v>OK</v>
      </c>
      <c r="Z534" t="str">
        <f t="shared" si="82"/>
        <v>OK</v>
      </c>
      <c r="AA534" t="str">
        <f t="shared" si="83"/>
        <v>OK</v>
      </c>
      <c r="AB534" t="str">
        <f t="shared" si="84"/>
        <v>Valid</v>
      </c>
      <c r="AC534" t="str">
        <f>IF(OR(AB534="Invalid Discount",V534="Invalid Shipping"),
"Invalid",
IF(OR(Y534="Missing Region",
Z534="Missing Ship Mode",
AA534="Missing Discount",
X534="Flagged for Review"),
"Warning",
"Clean"))</f>
        <v>Clean</v>
      </c>
      <c r="AD534">
        <f t="shared" si="85"/>
        <v>0.05</v>
      </c>
      <c r="AE534">
        <f>N534*O534*(1-AD534)</f>
        <v>17862.146999999997</v>
      </c>
      <c r="AF534">
        <f>AE534-R534</f>
        <v>7969.9369999999981</v>
      </c>
      <c r="AG534" s="3">
        <f t="shared" si="86"/>
        <v>0.44619143488182017</v>
      </c>
      <c r="AH534" t="str">
        <f t="shared" si="87"/>
        <v>October</v>
      </c>
      <c r="AI534">
        <f t="shared" si="88"/>
        <v>2025</v>
      </c>
    </row>
    <row r="535" spans="1:35">
      <c r="A535" t="s">
        <v>1710</v>
      </c>
      <c r="B535" s="2">
        <v>45529</v>
      </c>
      <c r="C535" s="2">
        <v>45536</v>
      </c>
      <c r="D535" t="s">
        <v>1711</v>
      </c>
      <c r="E535" t="s">
        <v>61</v>
      </c>
      <c r="F535" t="s">
        <v>109</v>
      </c>
      <c r="G535" t="s">
        <v>39</v>
      </c>
      <c r="H535" t="s">
        <v>40</v>
      </c>
      <c r="I535" t="s">
        <v>41</v>
      </c>
      <c r="J535" t="s">
        <v>55</v>
      </c>
      <c r="K535" t="s">
        <v>56</v>
      </c>
      <c r="L535" t="s">
        <v>1712</v>
      </c>
      <c r="M535" t="s">
        <v>58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46</v>
      </c>
      <c r="U535" t="s">
        <v>47</v>
      </c>
      <c r="V535" t="str">
        <f t="shared" si="79"/>
        <v>Valid</v>
      </c>
      <c r="W535">
        <f t="shared" si="80"/>
        <v>7</v>
      </c>
      <c r="Y535" t="str">
        <f t="shared" si="81"/>
        <v>OK</v>
      </c>
      <c r="Z535" t="str">
        <f t="shared" si="82"/>
        <v>OK</v>
      </c>
      <c r="AA535" t="str">
        <f t="shared" si="83"/>
        <v>OK</v>
      </c>
      <c r="AB535" t="str">
        <f t="shared" si="84"/>
        <v>Valid</v>
      </c>
      <c r="AC535" t="str">
        <f>IF(OR(AB535="Invalid Discount",V535="Invalid Shipping"),
"Invalid",
IF(OR(Y535="Missing Region",
Z535="Missing Ship Mode",
AA535="Missing Discount",
X535="Flagged for Review"),
"Warning",
"Clean"))</f>
        <v>Clean</v>
      </c>
      <c r="AD535">
        <f t="shared" si="85"/>
        <v>0.25</v>
      </c>
      <c r="AE535">
        <f>N535*O535*(1-AD535)</f>
        <v>2165.8500000000004</v>
      </c>
      <c r="AF535">
        <f>AE535-R535</f>
        <v>41.370000000000346</v>
      </c>
      <c r="AG535" s="3">
        <f t="shared" si="86"/>
        <v>1.91010457787937E-2</v>
      </c>
      <c r="AH535" t="str">
        <f t="shared" si="87"/>
        <v>August</v>
      </c>
      <c r="AI535">
        <f t="shared" si="88"/>
        <v>2024</v>
      </c>
    </row>
    <row r="536" spans="1:35">
      <c r="A536" t="s">
        <v>1713</v>
      </c>
      <c r="B536" s="2">
        <v>45774</v>
      </c>
      <c r="C536" s="2">
        <v>45782</v>
      </c>
      <c r="D536" t="s">
        <v>1714</v>
      </c>
      <c r="E536" t="s">
        <v>155</v>
      </c>
      <c r="F536" t="s">
        <v>109</v>
      </c>
      <c r="G536" t="s">
        <v>52</v>
      </c>
      <c r="H536" t="s">
        <v>159</v>
      </c>
      <c r="I536" t="s">
        <v>160</v>
      </c>
      <c r="J536" t="s">
        <v>88</v>
      </c>
      <c r="K536" t="s">
        <v>89</v>
      </c>
      <c r="L536" t="s">
        <v>1715</v>
      </c>
      <c r="M536" t="s">
        <v>45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125</v>
      </c>
      <c r="U536" t="s">
        <v>117</v>
      </c>
      <c r="V536" t="str">
        <f t="shared" si="79"/>
        <v>Valid</v>
      </c>
      <c r="W536">
        <f t="shared" si="80"/>
        <v>8</v>
      </c>
      <c r="Y536" t="str">
        <f t="shared" si="81"/>
        <v>OK</v>
      </c>
      <c r="Z536" t="str">
        <f t="shared" si="82"/>
        <v>OK</v>
      </c>
      <c r="AA536" t="str">
        <f t="shared" si="83"/>
        <v>OK</v>
      </c>
      <c r="AB536" t="str">
        <f t="shared" si="84"/>
        <v>Valid</v>
      </c>
      <c r="AC536" t="str">
        <f>IF(OR(AB536="Invalid Discount",V536="Invalid Shipping"),
"Invalid",
IF(OR(Y536="Missing Region",
Z536="Missing Ship Mode",
AA536="Missing Discount",
X536="Flagged for Review"),
"Warning",
"Clean"))</f>
        <v>Clean</v>
      </c>
      <c r="AD536">
        <f t="shared" si="85"/>
        <v>0.1</v>
      </c>
      <c r="AE536">
        <f>N536*O536*(1-AD536)</f>
        <v>14268.204</v>
      </c>
      <c r="AF536">
        <f>AE536-R536</f>
        <v>2562.9040000000005</v>
      </c>
      <c r="AG536" s="3">
        <f t="shared" si="86"/>
        <v>0.17962344805274724</v>
      </c>
      <c r="AH536" t="str">
        <f t="shared" si="87"/>
        <v>April</v>
      </c>
      <c r="AI536">
        <f t="shared" si="88"/>
        <v>2025</v>
      </c>
    </row>
    <row r="537" spans="1:35">
      <c r="A537" t="s">
        <v>1716</v>
      </c>
      <c r="B537" s="2">
        <v>45431</v>
      </c>
      <c r="C537" s="2">
        <v>45433</v>
      </c>
      <c r="D537" t="s">
        <v>1717</v>
      </c>
      <c r="E537" t="s">
        <v>176</v>
      </c>
      <c r="F537" t="s">
        <v>51</v>
      </c>
      <c r="G537" t="s">
        <v>77</v>
      </c>
      <c r="H537" t="s">
        <v>78</v>
      </c>
      <c r="I537" t="s">
        <v>79</v>
      </c>
      <c r="J537" t="s">
        <v>88</v>
      </c>
      <c r="K537" t="s">
        <v>94</v>
      </c>
      <c r="L537" t="s">
        <v>1718</v>
      </c>
      <c r="M537" t="s">
        <v>64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46</v>
      </c>
      <c r="U537" t="s">
        <v>47</v>
      </c>
      <c r="V537" t="str">
        <f t="shared" si="79"/>
        <v>Valid</v>
      </c>
      <c r="W537">
        <f t="shared" si="80"/>
        <v>2</v>
      </c>
      <c r="Y537" t="str">
        <f t="shared" si="81"/>
        <v>OK</v>
      </c>
      <c r="Z537" t="str">
        <f t="shared" si="82"/>
        <v>OK</v>
      </c>
      <c r="AA537" t="str">
        <f t="shared" si="83"/>
        <v>OK</v>
      </c>
      <c r="AB537" t="str">
        <f t="shared" si="84"/>
        <v>Valid</v>
      </c>
      <c r="AC537" t="str">
        <f>IF(OR(AB537="Invalid Discount",V537="Invalid Shipping"),
"Invalid",
IF(OR(Y537="Missing Region",
Z537="Missing Ship Mode",
AA537="Missing Discount",
X537="Flagged for Review"),
"Warning",
"Clean"))</f>
        <v>Clean</v>
      </c>
      <c r="AD537">
        <f t="shared" si="85"/>
        <v>0.2</v>
      </c>
      <c r="AE537">
        <f>N537*O537*(1-AD537)</f>
        <v>9602.3520000000008</v>
      </c>
      <c r="AF537">
        <f>AE537-R537</f>
        <v>2214.7820000000011</v>
      </c>
      <c r="AG537" s="3">
        <f t="shared" si="86"/>
        <v>0.23064994909580494</v>
      </c>
      <c r="AH537" t="str">
        <f t="shared" si="87"/>
        <v>May</v>
      </c>
      <c r="AI537">
        <f t="shared" si="88"/>
        <v>2024</v>
      </c>
    </row>
    <row r="538" spans="1:35">
      <c r="A538" t="s">
        <v>1719</v>
      </c>
      <c r="B538" s="2">
        <v>45757</v>
      </c>
      <c r="C538" s="2">
        <v>45764</v>
      </c>
      <c r="D538" t="s">
        <v>1720</v>
      </c>
      <c r="E538" t="s">
        <v>76</v>
      </c>
      <c r="F538" t="s">
        <v>51</v>
      </c>
      <c r="G538" t="s">
        <v>77</v>
      </c>
      <c r="H538" t="s">
        <v>40</v>
      </c>
      <c r="I538" t="s">
        <v>123</v>
      </c>
      <c r="J538" t="s">
        <v>55</v>
      </c>
      <c r="K538" t="s">
        <v>80</v>
      </c>
      <c r="L538" t="s">
        <v>1721</v>
      </c>
      <c r="M538" t="s">
        <v>64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169</v>
      </c>
      <c r="U538" t="s">
        <v>82</v>
      </c>
      <c r="V538" t="str">
        <f t="shared" si="79"/>
        <v>Valid</v>
      </c>
      <c r="W538">
        <f t="shared" si="80"/>
        <v>7</v>
      </c>
      <c r="Y538" t="str">
        <f t="shared" si="81"/>
        <v>OK</v>
      </c>
      <c r="Z538" t="str">
        <f t="shared" si="82"/>
        <v>OK</v>
      </c>
      <c r="AA538" t="str">
        <f t="shared" si="83"/>
        <v>OK</v>
      </c>
      <c r="AB538" t="str">
        <f t="shared" si="84"/>
        <v>Valid</v>
      </c>
      <c r="AC538" t="str">
        <f>IF(OR(AB538="Invalid Discount",V538="Invalid Shipping"),
"Invalid",
IF(OR(Y538="Missing Region",
Z538="Missing Ship Mode",
AA538="Missing Discount",
X538="Flagged for Review"),
"Warning",
"Clean"))</f>
        <v>Clean</v>
      </c>
      <c r="AD538">
        <f t="shared" si="85"/>
        <v>0.25</v>
      </c>
      <c r="AE538">
        <f>N538*O538*(1-AD538)</f>
        <v>19891.724999999999</v>
      </c>
      <c r="AF538">
        <f>AE538-R538</f>
        <v>7595.9649999999983</v>
      </c>
      <c r="AG538" s="3">
        <f t="shared" si="86"/>
        <v>0.38186557475533162</v>
      </c>
      <c r="AH538" t="str">
        <f t="shared" si="87"/>
        <v>April</v>
      </c>
      <c r="AI538">
        <f t="shared" si="88"/>
        <v>2025</v>
      </c>
    </row>
    <row r="539" spans="1:35">
      <c r="A539" t="s">
        <v>1722</v>
      </c>
      <c r="B539" s="2">
        <v>45313</v>
      </c>
      <c r="C539" s="2">
        <v>45321</v>
      </c>
      <c r="D539" t="s">
        <v>1723</v>
      </c>
      <c r="E539" t="s">
        <v>76</v>
      </c>
      <c r="F539" t="s">
        <v>51</v>
      </c>
      <c r="G539" t="s">
        <v>39</v>
      </c>
      <c r="H539" t="s">
        <v>251</v>
      </c>
      <c r="I539" t="s">
        <v>252</v>
      </c>
      <c r="J539" t="s">
        <v>42</v>
      </c>
      <c r="K539" t="s">
        <v>62</v>
      </c>
      <c r="L539" t="s">
        <v>1724</v>
      </c>
      <c r="M539" t="s">
        <v>58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169</v>
      </c>
      <c r="U539" t="s">
        <v>82</v>
      </c>
      <c r="V539" t="str">
        <f t="shared" si="79"/>
        <v>Valid</v>
      </c>
      <c r="W539">
        <f t="shared" si="80"/>
        <v>8</v>
      </c>
      <c r="Y539" t="str">
        <f t="shared" si="81"/>
        <v>OK</v>
      </c>
      <c r="Z539" t="str">
        <f t="shared" si="82"/>
        <v>OK</v>
      </c>
      <c r="AA539" t="str">
        <f t="shared" si="83"/>
        <v>OK</v>
      </c>
      <c r="AB539" t="str">
        <f t="shared" si="84"/>
        <v>Valid</v>
      </c>
      <c r="AC539" t="str">
        <f>IF(OR(AB539="Invalid Discount",V539="Invalid Shipping"),
"Invalid",
IF(OR(Y539="Missing Region",
Z539="Missing Ship Mode",
AA539="Missing Discount",
X539="Flagged for Review"),
"Warning",
"Clean"))</f>
        <v>Clean</v>
      </c>
      <c r="AD539">
        <f t="shared" si="85"/>
        <v>0.05</v>
      </c>
      <c r="AE539">
        <f>N539*O539*(1-AD539)</f>
        <v>1927.6545000000001</v>
      </c>
      <c r="AF539">
        <f>AE539-R539</f>
        <v>467.05450000000019</v>
      </c>
      <c r="AG539" s="3">
        <f t="shared" si="86"/>
        <v>0.24229160360427668</v>
      </c>
      <c r="AH539" t="str">
        <f t="shared" si="87"/>
        <v>January</v>
      </c>
      <c r="AI539">
        <f t="shared" si="88"/>
        <v>2024</v>
      </c>
    </row>
    <row r="540" spans="1:35">
      <c r="A540" t="s">
        <v>1725</v>
      </c>
      <c r="B540" s="2">
        <v>45560</v>
      </c>
      <c r="C540" s="2">
        <v>45566</v>
      </c>
      <c r="D540" t="s">
        <v>1726</v>
      </c>
      <c r="E540" t="s">
        <v>176</v>
      </c>
      <c r="F540" t="s">
        <v>51</v>
      </c>
      <c r="G540" t="s">
        <v>52</v>
      </c>
      <c r="H540" t="s">
        <v>243</v>
      </c>
      <c r="I540" t="s">
        <v>244</v>
      </c>
      <c r="J540" t="s">
        <v>55</v>
      </c>
      <c r="K540" t="s">
        <v>56</v>
      </c>
      <c r="L540" t="s">
        <v>1727</v>
      </c>
      <c r="M540" t="s">
        <v>45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46</v>
      </c>
      <c r="U540" t="s">
        <v>47</v>
      </c>
      <c r="V540" t="str">
        <f t="shared" si="79"/>
        <v>Valid</v>
      </c>
      <c r="W540">
        <f t="shared" si="80"/>
        <v>6</v>
      </c>
      <c r="Y540" t="str">
        <f t="shared" si="81"/>
        <v>OK</v>
      </c>
      <c r="Z540" t="str">
        <f t="shared" si="82"/>
        <v>OK</v>
      </c>
      <c r="AA540" t="str">
        <f t="shared" si="83"/>
        <v>OK</v>
      </c>
      <c r="AB540" t="str">
        <f t="shared" si="84"/>
        <v>Valid</v>
      </c>
      <c r="AC540" t="str">
        <f>IF(OR(AB540="Invalid Discount",V540="Invalid Shipping"),
"Invalid",
IF(OR(Y540="Missing Region",
Z540="Missing Ship Mode",
AA540="Missing Discount",
X540="Flagged for Review"),
"Warning",
"Clean"))</f>
        <v>Clean</v>
      </c>
      <c r="AD540">
        <f t="shared" si="85"/>
        <v>0.15</v>
      </c>
      <c r="AE540">
        <f>N540*O540*(1-AD540)</f>
        <v>29900.79</v>
      </c>
      <c r="AF540">
        <f>AE540-R540</f>
        <v>5250.1200000000026</v>
      </c>
      <c r="AG540" s="3">
        <f t="shared" si="86"/>
        <v>0.17558465846554563</v>
      </c>
      <c r="AH540" t="str">
        <f t="shared" si="87"/>
        <v>September</v>
      </c>
      <c r="AI540">
        <f t="shared" si="88"/>
        <v>2024</v>
      </c>
    </row>
    <row r="541" spans="1:35">
      <c r="A541" t="s">
        <v>1728</v>
      </c>
      <c r="B541" s="2">
        <v>45842</v>
      </c>
      <c r="C541" s="2">
        <v>45842</v>
      </c>
      <c r="D541" t="s">
        <v>1729</v>
      </c>
      <c r="E541" t="s">
        <v>50</v>
      </c>
      <c r="F541" t="s">
        <v>51</v>
      </c>
      <c r="G541" t="s">
        <v>68</v>
      </c>
      <c r="H541" t="s">
        <v>262</v>
      </c>
      <c r="I541" t="s">
        <v>263</v>
      </c>
      <c r="J541" t="s">
        <v>55</v>
      </c>
      <c r="K541" t="s">
        <v>80</v>
      </c>
      <c r="L541" t="s">
        <v>1730</v>
      </c>
      <c r="M541" t="s">
        <v>73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46</v>
      </c>
      <c r="U541" t="s">
        <v>82</v>
      </c>
      <c r="V541" t="str">
        <f t="shared" si="79"/>
        <v>Valid</v>
      </c>
      <c r="W541">
        <f t="shared" si="80"/>
        <v>0</v>
      </c>
      <c r="Y541" t="str">
        <f t="shared" si="81"/>
        <v>OK</v>
      </c>
      <c r="Z541" t="str">
        <f t="shared" si="82"/>
        <v>OK</v>
      </c>
      <c r="AA541" t="str">
        <f t="shared" si="83"/>
        <v>OK</v>
      </c>
      <c r="AB541" t="str">
        <f t="shared" si="84"/>
        <v>Valid</v>
      </c>
      <c r="AC541" t="str">
        <f>IF(OR(AB541="Invalid Discount",V541="Invalid Shipping"),
"Invalid",
IF(OR(Y541="Missing Region",
Z541="Missing Ship Mode",
AA541="Missing Discount",
X541="Flagged for Review"),
"Warning",
"Clean"))</f>
        <v>Clean</v>
      </c>
      <c r="AD541">
        <f t="shared" si="85"/>
        <v>0.1</v>
      </c>
      <c r="AE541">
        <f>N541*O541*(1-AD541)</f>
        <v>1904.4450000000002</v>
      </c>
      <c r="AF541">
        <f>AE541-R541</f>
        <v>587.9050000000002</v>
      </c>
      <c r="AG541" s="3">
        <f t="shared" si="86"/>
        <v>0.30870148520960183</v>
      </c>
      <c r="AH541" t="str">
        <f t="shared" si="87"/>
        <v>July</v>
      </c>
      <c r="AI541">
        <f t="shared" si="88"/>
        <v>2025</v>
      </c>
    </row>
    <row r="542" spans="1:35">
      <c r="A542" t="s">
        <v>1731</v>
      </c>
      <c r="B542" s="2">
        <v>45348</v>
      </c>
      <c r="C542" s="2">
        <v>45345</v>
      </c>
      <c r="D542" t="s">
        <v>1732</v>
      </c>
      <c r="E542" t="s">
        <v>279</v>
      </c>
      <c r="F542" t="s">
        <v>38</v>
      </c>
      <c r="G542" t="s">
        <v>77</v>
      </c>
      <c r="H542" t="s">
        <v>194</v>
      </c>
      <c r="I542" t="s">
        <v>195</v>
      </c>
      <c r="J542" t="s">
        <v>55</v>
      </c>
      <c r="K542" t="s">
        <v>71</v>
      </c>
      <c r="L542" t="s">
        <v>1733</v>
      </c>
      <c r="M542" t="s">
        <v>73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46</v>
      </c>
      <c r="U542" t="s">
        <v>47</v>
      </c>
      <c r="V542" t="str">
        <f t="shared" si="79"/>
        <v>Invalid Shipping</v>
      </c>
      <c r="W542">
        <f t="shared" si="80"/>
        <v>-3</v>
      </c>
      <c r="Y542" t="str">
        <f t="shared" si="81"/>
        <v>OK</v>
      </c>
      <c r="Z542" t="str">
        <f t="shared" si="82"/>
        <v>OK</v>
      </c>
      <c r="AA542" t="str">
        <f t="shared" si="83"/>
        <v>OK</v>
      </c>
      <c r="AB542" t="str">
        <f t="shared" si="84"/>
        <v>Valid</v>
      </c>
      <c r="AC542" t="str">
        <f>IF(OR(AB542="Invalid Discount",V542="Invalid Shipping"),
"Invalid",
IF(OR(Y542="Missing Region",
Z542="Missing Ship Mode",
AA542="Missing Discount",
X542="Flagged for Review"),
"Warning",
"Clean"))</f>
        <v>Invalid</v>
      </c>
      <c r="AD542">
        <f t="shared" si="85"/>
        <v>0.2</v>
      </c>
      <c r="AE542">
        <f>N542*O542*(1-AD542)</f>
        <v>21571.592000000004</v>
      </c>
      <c r="AF542">
        <f>AE542-R542</f>
        <v>4453.5220000000045</v>
      </c>
      <c r="AG542" s="3">
        <f t="shared" si="86"/>
        <v>0.20645309813017063</v>
      </c>
      <c r="AH542" t="str">
        <f t="shared" si="87"/>
        <v>February</v>
      </c>
      <c r="AI542">
        <f t="shared" si="88"/>
        <v>2024</v>
      </c>
    </row>
    <row r="543" spans="1:35">
      <c r="A543" t="s">
        <v>1734</v>
      </c>
      <c r="B543" s="2">
        <v>45846</v>
      </c>
      <c r="C543" s="2">
        <v>45847</v>
      </c>
      <c r="D543" t="s">
        <v>1735</v>
      </c>
      <c r="E543" t="s">
        <v>146</v>
      </c>
      <c r="F543" t="s">
        <v>38</v>
      </c>
      <c r="G543" t="s">
        <v>77</v>
      </c>
      <c r="H543" t="s">
        <v>78</v>
      </c>
      <c r="I543" t="s">
        <v>79</v>
      </c>
      <c r="J543" t="s">
        <v>88</v>
      </c>
      <c r="K543" t="s">
        <v>94</v>
      </c>
      <c r="L543" t="s">
        <v>1736</v>
      </c>
      <c r="M543" t="s">
        <v>58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46</v>
      </c>
      <c r="U543" t="s">
        <v>117</v>
      </c>
      <c r="V543" t="str">
        <f t="shared" si="79"/>
        <v>Valid</v>
      </c>
      <c r="W543">
        <f t="shared" si="80"/>
        <v>1</v>
      </c>
      <c r="Y543" t="str">
        <f t="shared" si="81"/>
        <v>OK</v>
      </c>
      <c r="Z543" t="str">
        <f t="shared" si="82"/>
        <v>OK</v>
      </c>
      <c r="AA543" t="str">
        <f t="shared" si="83"/>
        <v>OK</v>
      </c>
      <c r="AB543" t="str">
        <f t="shared" si="84"/>
        <v>Valid</v>
      </c>
      <c r="AC543" t="str">
        <f>IF(OR(AB543="Invalid Discount",V543="Invalid Shipping"),
"Invalid",
IF(OR(Y543="Missing Region",
Z543="Missing Ship Mode",
AA543="Missing Discount",
X543="Flagged for Review"),
"Warning",
"Clean"))</f>
        <v>Clean</v>
      </c>
      <c r="AD543">
        <f t="shared" si="85"/>
        <v>0</v>
      </c>
      <c r="AE543">
        <f>N543*O543*(1-AD543)</f>
        <v>8641.68</v>
      </c>
      <c r="AF543">
        <f>AE543-R543</f>
        <v>2894.59</v>
      </c>
      <c r="AG543" s="3">
        <f t="shared" si="86"/>
        <v>0.33495686024013849</v>
      </c>
      <c r="AH543" t="str">
        <f t="shared" si="87"/>
        <v>July</v>
      </c>
      <c r="AI543">
        <f t="shared" si="88"/>
        <v>2025</v>
      </c>
    </row>
    <row r="544" spans="1:35">
      <c r="A544" t="s">
        <v>1737</v>
      </c>
      <c r="B544" s="2">
        <v>45552</v>
      </c>
      <c r="C544" s="2">
        <v>45558</v>
      </c>
      <c r="D544" t="s">
        <v>1738</v>
      </c>
      <c r="E544" t="s">
        <v>132</v>
      </c>
      <c r="F544" t="s">
        <v>109</v>
      </c>
      <c r="G544" t="s">
        <v>68</v>
      </c>
      <c r="H544" t="s">
        <v>199</v>
      </c>
      <c r="I544" t="s">
        <v>200</v>
      </c>
      <c r="J544" t="s">
        <v>55</v>
      </c>
      <c r="K544" t="s">
        <v>172</v>
      </c>
      <c r="L544" t="s">
        <v>1739</v>
      </c>
      <c r="M544" t="s">
        <v>45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46</v>
      </c>
      <c r="U544" t="s">
        <v>82</v>
      </c>
      <c r="V544" t="str">
        <f t="shared" si="79"/>
        <v>Valid</v>
      </c>
      <c r="W544">
        <f t="shared" si="80"/>
        <v>6</v>
      </c>
      <c r="Y544" t="str">
        <f t="shared" si="81"/>
        <v>OK</v>
      </c>
      <c r="Z544" t="str">
        <f t="shared" si="82"/>
        <v>OK</v>
      </c>
      <c r="AA544" t="str">
        <f t="shared" si="83"/>
        <v>OK</v>
      </c>
      <c r="AB544" t="str">
        <f t="shared" si="84"/>
        <v>Valid</v>
      </c>
      <c r="AC544" t="str">
        <f>IF(OR(AB544="Invalid Discount",V544="Invalid Shipping"),
"Invalid",
IF(OR(Y544="Missing Region",
Z544="Missing Ship Mode",
AA544="Missing Discount",
X544="Flagged for Review"),
"Warning",
"Clean"))</f>
        <v>Clean</v>
      </c>
      <c r="AD544">
        <f t="shared" si="85"/>
        <v>0.2</v>
      </c>
      <c r="AE544">
        <f>N544*O544*(1-AD544)</f>
        <v>9762.2880000000005</v>
      </c>
      <c r="AF544">
        <f>AE544-R544</f>
        <v>1394.0480000000007</v>
      </c>
      <c r="AG544" s="3">
        <f t="shared" si="86"/>
        <v>0.14279931098119628</v>
      </c>
      <c r="AH544" t="str">
        <f t="shared" si="87"/>
        <v>September</v>
      </c>
      <c r="AI544">
        <f t="shared" si="88"/>
        <v>2024</v>
      </c>
    </row>
    <row r="545" spans="1:35">
      <c r="A545" t="s">
        <v>1740</v>
      </c>
      <c r="B545" s="2">
        <v>45487</v>
      </c>
      <c r="C545" s="2">
        <v>45493</v>
      </c>
      <c r="D545" t="s">
        <v>1741</v>
      </c>
      <c r="E545" t="s">
        <v>50</v>
      </c>
      <c r="F545" t="s">
        <v>38</v>
      </c>
      <c r="G545" t="s">
        <v>52</v>
      </c>
      <c r="H545" t="s">
        <v>159</v>
      </c>
      <c r="I545" t="s">
        <v>160</v>
      </c>
      <c r="J545" t="s">
        <v>88</v>
      </c>
      <c r="K545" t="s">
        <v>94</v>
      </c>
      <c r="L545" t="s">
        <v>1742</v>
      </c>
      <c r="M545" t="s">
        <v>58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46</v>
      </c>
      <c r="U545" t="s">
        <v>47</v>
      </c>
      <c r="V545" t="str">
        <f t="shared" si="79"/>
        <v>Valid</v>
      </c>
      <c r="W545">
        <f t="shared" si="80"/>
        <v>6</v>
      </c>
      <c r="Y545" t="str">
        <f t="shared" si="81"/>
        <v>OK</v>
      </c>
      <c r="Z545" t="str">
        <f t="shared" si="82"/>
        <v>OK</v>
      </c>
      <c r="AA545" t="str">
        <f t="shared" si="83"/>
        <v>OK</v>
      </c>
      <c r="AB545" t="str">
        <f t="shared" si="84"/>
        <v>Valid</v>
      </c>
      <c r="AC545" t="str">
        <f>IF(OR(AB545="Invalid Discount",V545="Invalid Shipping"),
"Invalid",
IF(OR(Y545="Missing Region",
Z545="Missing Ship Mode",
AA545="Missing Discount",
X545="Flagged for Review"),
"Warning",
"Clean"))</f>
        <v>Clean</v>
      </c>
      <c r="AD545">
        <f t="shared" si="85"/>
        <v>0.15</v>
      </c>
      <c r="AE545">
        <f>N545*O545*(1-AD545)</f>
        <v>418.76949999999999</v>
      </c>
      <c r="AF545">
        <f>AE545-R545</f>
        <v>105.04949999999997</v>
      </c>
      <c r="AG545" s="3">
        <f t="shared" si="86"/>
        <v>0.25085279610859906</v>
      </c>
      <c r="AH545" t="str">
        <f t="shared" si="87"/>
        <v>July</v>
      </c>
      <c r="AI545">
        <f t="shared" si="88"/>
        <v>2024</v>
      </c>
    </row>
    <row r="546" spans="1:35">
      <c r="A546" t="s">
        <v>1743</v>
      </c>
      <c r="B546" s="2">
        <v>45686</v>
      </c>
      <c r="C546" s="2">
        <v>45693</v>
      </c>
      <c r="D546" t="s">
        <v>1744</v>
      </c>
      <c r="E546" t="s">
        <v>76</v>
      </c>
      <c r="F546" t="s">
        <v>38</v>
      </c>
      <c r="G546" t="s">
        <v>68</v>
      </c>
      <c r="H546" t="s">
        <v>199</v>
      </c>
      <c r="I546" t="s">
        <v>200</v>
      </c>
      <c r="J546" t="s">
        <v>42</v>
      </c>
      <c r="K546" t="s">
        <v>62</v>
      </c>
      <c r="L546" t="s">
        <v>1745</v>
      </c>
      <c r="M546" t="s">
        <v>58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46</v>
      </c>
      <c r="U546" t="s">
        <v>82</v>
      </c>
      <c r="V546" t="str">
        <f t="shared" si="79"/>
        <v>Valid</v>
      </c>
      <c r="W546">
        <f t="shared" si="80"/>
        <v>7</v>
      </c>
      <c r="Y546" t="str">
        <f t="shared" si="81"/>
        <v>OK</v>
      </c>
      <c r="Z546" t="str">
        <f t="shared" si="82"/>
        <v>OK</v>
      </c>
      <c r="AA546" t="str">
        <f t="shared" si="83"/>
        <v>OK</v>
      </c>
      <c r="AB546" t="str">
        <f t="shared" si="84"/>
        <v>Valid</v>
      </c>
      <c r="AC546" t="str">
        <f>IF(OR(AB546="Invalid Discount",V546="Invalid Shipping"),
"Invalid",
IF(OR(Y546="Missing Region",
Z546="Missing Ship Mode",
AA546="Missing Discount",
X546="Flagged for Review"),
"Warning",
"Clean"))</f>
        <v>Clean</v>
      </c>
      <c r="AD546">
        <f t="shared" si="85"/>
        <v>0.25</v>
      </c>
      <c r="AE546">
        <f>N546*O546*(1-AD546)</f>
        <v>21861.72</v>
      </c>
      <c r="AF546">
        <f>AE546-R546</f>
        <v>3397.380000000001</v>
      </c>
      <c r="AG546" s="3">
        <f t="shared" si="86"/>
        <v>0.1554031430280875</v>
      </c>
      <c r="AH546" t="str">
        <f t="shared" si="87"/>
        <v>January</v>
      </c>
      <c r="AI546">
        <f t="shared" si="88"/>
        <v>2025</v>
      </c>
    </row>
    <row r="547" spans="1:35">
      <c r="A547" t="s">
        <v>1746</v>
      </c>
      <c r="B547" s="2">
        <v>45439</v>
      </c>
      <c r="C547" s="2">
        <v>45442</v>
      </c>
      <c r="D547" t="s">
        <v>1747</v>
      </c>
      <c r="E547" t="s">
        <v>279</v>
      </c>
      <c r="F547" t="s">
        <v>51</v>
      </c>
      <c r="G547" t="s">
        <v>52</v>
      </c>
      <c r="H547" t="s">
        <v>243</v>
      </c>
      <c r="I547" t="s">
        <v>244</v>
      </c>
      <c r="J547" t="s">
        <v>42</v>
      </c>
      <c r="K547" t="s">
        <v>138</v>
      </c>
      <c r="L547" t="s">
        <v>1748</v>
      </c>
      <c r="M547" t="s">
        <v>58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46</v>
      </c>
      <c r="U547" t="s">
        <v>47</v>
      </c>
      <c r="V547" t="str">
        <f t="shared" si="79"/>
        <v>Valid</v>
      </c>
      <c r="W547">
        <f t="shared" si="80"/>
        <v>3</v>
      </c>
      <c r="Y547" t="str">
        <f t="shared" si="81"/>
        <v>OK</v>
      </c>
      <c r="Z547" t="str">
        <f t="shared" si="82"/>
        <v>OK</v>
      </c>
      <c r="AA547" t="str">
        <f t="shared" si="83"/>
        <v>OK</v>
      </c>
      <c r="AB547" t="str">
        <f t="shared" si="84"/>
        <v>Valid</v>
      </c>
      <c r="AC547" t="str">
        <f>IF(OR(AB547="Invalid Discount",V547="Invalid Shipping"),
"Invalid",
IF(OR(Y547="Missing Region",
Z547="Missing Ship Mode",
AA547="Missing Discount",
X547="Flagged for Review"),
"Warning",
"Clean"))</f>
        <v>Clean</v>
      </c>
      <c r="AD547">
        <f t="shared" si="85"/>
        <v>0.15</v>
      </c>
      <c r="AE547">
        <f>N547*O547*(1-AD547)</f>
        <v>17260.116999999998</v>
      </c>
      <c r="AF547">
        <f>AE547-R547</f>
        <v>3746.6069999999982</v>
      </c>
      <c r="AG547" s="3">
        <f t="shared" si="86"/>
        <v>0.21706730029697935</v>
      </c>
      <c r="AH547" t="str">
        <f t="shared" si="87"/>
        <v>May</v>
      </c>
      <c r="AI547">
        <f t="shared" si="88"/>
        <v>2024</v>
      </c>
    </row>
    <row r="548" spans="1:35">
      <c r="A548" t="s">
        <v>1749</v>
      </c>
      <c r="B548" s="2">
        <v>45883</v>
      </c>
      <c r="C548" s="2">
        <v>45891</v>
      </c>
      <c r="D548" t="s">
        <v>1750</v>
      </c>
      <c r="E548" t="s">
        <v>67</v>
      </c>
      <c r="F548" t="s">
        <v>104</v>
      </c>
      <c r="G548" t="s">
        <v>77</v>
      </c>
      <c r="H548" t="s">
        <v>194</v>
      </c>
      <c r="I548" t="s">
        <v>195</v>
      </c>
      <c r="J548" t="s">
        <v>42</v>
      </c>
      <c r="K548" t="s">
        <v>43</v>
      </c>
      <c r="L548" t="s">
        <v>1751</v>
      </c>
      <c r="M548" t="s">
        <v>64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46</v>
      </c>
      <c r="U548" t="s">
        <v>47</v>
      </c>
      <c r="V548" t="str">
        <f t="shared" si="79"/>
        <v>Valid</v>
      </c>
      <c r="W548">
        <f t="shared" si="80"/>
        <v>8</v>
      </c>
      <c r="Y548" t="str">
        <f t="shared" si="81"/>
        <v>OK</v>
      </c>
      <c r="Z548" t="str">
        <f t="shared" si="82"/>
        <v>OK</v>
      </c>
      <c r="AA548" t="str">
        <f t="shared" si="83"/>
        <v>OK</v>
      </c>
      <c r="AB548" t="str">
        <f t="shared" si="84"/>
        <v>Valid</v>
      </c>
      <c r="AC548" t="str">
        <f>IF(OR(AB548="Invalid Discount",V548="Invalid Shipping"),
"Invalid",
IF(OR(Y548="Missing Region",
Z548="Missing Ship Mode",
AA548="Missing Discount",
X548="Flagged for Review"),
"Warning",
"Clean"))</f>
        <v>Clean</v>
      </c>
      <c r="AD548">
        <f t="shared" si="85"/>
        <v>0.15</v>
      </c>
      <c r="AE548">
        <f>N548*O548*(1-AD548)</f>
        <v>10911.322499999998</v>
      </c>
      <c r="AF548">
        <f>AE548-R548</f>
        <v>3944.8824999999988</v>
      </c>
      <c r="AG548" s="3">
        <f t="shared" si="86"/>
        <v>0.36154027158486052</v>
      </c>
      <c r="AH548" t="str">
        <f t="shared" si="87"/>
        <v>August</v>
      </c>
      <c r="AI548">
        <f t="shared" si="88"/>
        <v>2025</v>
      </c>
    </row>
    <row r="549" spans="1:35">
      <c r="A549" t="s">
        <v>1752</v>
      </c>
      <c r="B549" s="2">
        <v>45428</v>
      </c>
      <c r="C549" s="2">
        <v>45435</v>
      </c>
      <c r="D549" t="s">
        <v>1753</v>
      </c>
      <c r="E549" t="s">
        <v>93</v>
      </c>
      <c r="F549" t="s">
        <v>51</v>
      </c>
      <c r="G549" t="s">
        <v>39</v>
      </c>
      <c r="H549" t="s">
        <v>150</v>
      </c>
      <c r="I549" t="s">
        <v>151</v>
      </c>
      <c r="J549" t="s">
        <v>88</v>
      </c>
      <c r="K549" t="s">
        <v>94</v>
      </c>
      <c r="L549" t="s">
        <v>1754</v>
      </c>
      <c r="M549" t="s">
        <v>73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46</v>
      </c>
      <c r="U549" t="s">
        <v>47</v>
      </c>
      <c r="V549" t="str">
        <f t="shared" si="79"/>
        <v>Valid</v>
      </c>
      <c r="W549">
        <f t="shared" si="80"/>
        <v>7</v>
      </c>
      <c r="Y549" t="str">
        <f t="shared" si="81"/>
        <v>OK</v>
      </c>
      <c r="Z549" t="str">
        <f t="shared" si="82"/>
        <v>OK</v>
      </c>
      <c r="AA549" t="str">
        <f t="shared" si="83"/>
        <v>OK</v>
      </c>
      <c r="AB549" t="str">
        <f t="shared" si="84"/>
        <v>Valid</v>
      </c>
      <c r="AC549" t="str">
        <f>IF(OR(AB549="Invalid Discount",V549="Invalid Shipping"),
"Invalid",
IF(OR(Y549="Missing Region",
Z549="Missing Ship Mode",
AA549="Missing Discount",
X549="Flagged for Review"),
"Warning",
"Clean"))</f>
        <v>Clean</v>
      </c>
      <c r="AD549">
        <f t="shared" si="85"/>
        <v>0.1</v>
      </c>
      <c r="AE549">
        <f>N549*O549*(1-AD549)</f>
        <v>30148.929</v>
      </c>
      <c r="AF549">
        <f>AE549-R549</f>
        <v>4993.8590000000004</v>
      </c>
      <c r="AG549" s="3">
        <f t="shared" si="86"/>
        <v>0.16563968159532302</v>
      </c>
      <c r="AH549" t="str">
        <f t="shared" si="87"/>
        <v>May</v>
      </c>
      <c r="AI549">
        <f t="shared" si="88"/>
        <v>2024</v>
      </c>
    </row>
    <row r="550" spans="1:35">
      <c r="A550" t="s">
        <v>1755</v>
      </c>
      <c r="B550" s="2">
        <v>45441</v>
      </c>
      <c r="C550" s="2">
        <v>45441</v>
      </c>
      <c r="D550" t="s">
        <v>1756</v>
      </c>
      <c r="E550" t="s">
        <v>155</v>
      </c>
      <c r="F550" t="s">
        <v>104</v>
      </c>
      <c r="G550" t="s">
        <v>52</v>
      </c>
      <c r="H550" t="s">
        <v>159</v>
      </c>
      <c r="I550" t="s">
        <v>160</v>
      </c>
      <c r="J550" t="s">
        <v>55</v>
      </c>
      <c r="K550" t="s">
        <v>172</v>
      </c>
      <c r="L550" t="s">
        <v>1757</v>
      </c>
      <c r="M550" t="s">
        <v>58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125</v>
      </c>
      <c r="U550" t="s">
        <v>82</v>
      </c>
      <c r="V550" t="str">
        <f t="shared" si="79"/>
        <v>Valid</v>
      </c>
      <c r="W550">
        <f t="shared" si="80"/>
        <v>0</v>
      </c>
      <c r="Y550" t="str">
        <f t="shared" si="81"/>
        <v>OK</v>
      </c>
      <c r="Z550" t="str">
        <f t="shared" si="82"/>
        <v>OK</v>
      </c>
      <c r="AA550" t="str">
        <f t="shared" si="83"/>
        <v>OK</v>
      </c>
      <c r="AB550" t="str">
        <f t="shared" si="84"/>
        <v>Valid</v>
      </c>
      <c r="AC550" t="str">
        <f>IF(OR(AB550="Invalid Discount",V550="Invalid Shipping"),
"Invalid",
IF(OR(Y550="Missing Region",
Z550="Missing Ship Mode",
AA550="Missing Discount",
X550="Flagged for Review"),
"Warning",
"Clean"))</f>
        <v>Clean</v>
      </c>
      <c r="AD550">
        <f t="shared" si="85"/>
        <v>0</v>
      </c>
      <c r="AE550">
        <f>N550*O550*(1-AD550)</f>
        <v>1072.01</v>
      </c>
      <c r="AF550">
        <f>AE550-R550</f>
        <v>219.39</v>
      </c>
      <c r="AG550" s="3">
        <f t="shared" si="86"/>
        <v>0.20465294167032022</v>
      </c>
      <c r="AH550" t="str">
        <f t="shared" si="87"/>
        <v>May</v>
      </c>
      <c r="AI550">
        <f t="shared" si="88"/>
        <v>2024</v>
      </c>
    </row>
    <row r="551" spans="1:35">
      <c r="A551" t="s">
        <v>1758</v>
      </c>
      <c r="B551" s="2">
        <v>45941</v>
      </c>
      <c r="C551" s="2">
        <v>45943</v>
      </c>
      <c r="D551" t="s">
        <v>1759</v>
      </c>
      <c r="E551" t="s">
        <v>50</v>
      </c>
      <c r="F551" t="s">
        <v>104</v>
      </c>
      <c r="G551" t="s">
        <v>68</v>
      </c>
      <c r="H551" t="s">
        <v>69</v>
      </c>
      <c r="I551" t="s">
        <v>70</v>
      </c>
      <c r="J551" t="s">
        <v>42</v>
      </c>
      <c r="K551" t="s">
        <v>62</v>
      </c>
      <c r="L551" t="s">
        <v>1760</v>
      </c>
      <c r="M551" t="s">
        <v>45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46</v>
      </c>
      <c r="U551" t="s">
        <v>47</v>
      </c>
      <c r="V551" t="str">
        <f t="shared" si="79"/>
        <v>Valid</v>
      </c>
      <c r="W551">
        <f t="shared" si="80"/>
        <v>2</v>
      </c>
      <c r="Y551" t="str">
        <f t="shared" si="81"/>
        <v>OK</v>
      </c>
      <c r="Z551" t="str">
        <f t="shared" si="82"/>
        <v>OK</v>
      </c>
      <c r="AA551" t="str">
        <f t="shared" si="83"/>
        <v>OK</v>
      </c>
      <c r="AB551" t="str">
        <f t="shared" si="84"/>
        <v>Valid</v>
      </c>
      <c r="AC551" t="str">
        <f>IF(OR(AB551="Invalid Discount",V551="Invalid Shipping"),
"Invalid",
IF(OR(Y551="Missing Region",
Z551="Missing Ship Mode",
AA551="Missing Discount",
X551="Flagged for Review"),
"Warning",
"Clean"))</f>
        <v>Clean</v>
      </c>
      <c r="AD551">
        <f t="shared" si="85"/>
        <v>0.1</v>
      </c>
      <c r="AE551">
        <f>N551*O551*(1-AD551)</f>
        <v>10271.529</v>
      </c>
      <c r="AF551">
        <f>AE551-R551</f>
        <v>1999.2890000000007</v>
      </c>
      <c r="AG551" s="3">
        <f t="shared" si="86"/>
        <v>0.19464375751652949</v>
      </c>
      <c r="AH551" t="str">
        <f t="shared" si="87"/>
        <v>October</v>
      </c>
      <c r="AI551">
        <f t="shared" si="88"/>
        <v>2025</v>
      </c>
    </row>
    <row r="552" spans="1:35">
      <c r="A552" t="s">
        <v>1761</v>
      </c>
      <c r="B552" s="2">
        <v>45506</v>
      </c>
      <c r="C552" s="2">
        <v>45514</v>
      </c>
      <c r="D552" t="s">
        <v>1762</v>
      </c>
      <c r="E552" t="s">
        <v>50</v>
      </c>
      <c r="F552" t="s">
        <v>109</v>
      </c>
      <c r="G552" t="s">
        <v>52</v>
      </c>
      <c r="H552" t="s">
        <v>53</v>
      </c>
      <c r="I552" t="s">
        <v>54</v>
      </c>
      <c r="J552" t="s">
        <v>88</v>
      </c>
      <c r="K552" t="s">
        <v>89</v>
      </c>
      <c r="L552" t="s">
        <v>1763</v>
      </c>
      <c r="M552" t="s">
        <v>73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46</v>
      </c>
      <c r="U552" t="s">
        <v>47</v>
      </c>
      <c r="V552" t="str">
        <f t="shared" si="79"/>
        <v>Valid</v>
      </c>
      <c r="W552">
        <f t="shared" si="80"/>
        <v>8</v>
      </c>
      <c r="Y552" t="str">
        <f t="shared" si="81"/>
        <v>OK</v>
      </c>
      <c r="Z552" t="str">
        <f t="shared" si="82"/>
        <v>OK</v>
      </c>
      <c r="AA552" t="str">
        <f t="shared" si="83"/>
        <v>OK</v>
      </c>
      <c r="AB552" t="str">
        <f t="shared" si="84"/>
        <v>Valid</v>
      </c>
      <c r="AC552" t="str">
        <f>IF(OR(AB552="Invalid Discount",V552="Invalid Shipping"),
"Invalid",
IF(OR(Y552="Missing Region",
Z552="Missing Ship Mode",
AA552="Missing Discount",
X552="Flagged for Review"),
"Warning",
"Clean"))</f>
        <v>Clean</v>
      </c>
      <c r="AD552">
        <f t="shared" si="85"/>
        <v>0.2</v>
      </c>
      <c r="AE552">
        <f>N552*O552*(1-AD552)</f>
        <v>10206.912</v>
      </c>
      <c r="AF552">
        <f>AE552-R552</f>
        <v>3442.3820000000005</v>
      </c>
      <c r="AG552" s="3">
        <f t="shared" si="86"/>
        <v>0.33725988820125036</v>
      </c>
      <c r="AH552" t="str">
        <f t="shared" si="87"/>
        <v>August</v>
      </c>
      <c r="AI552">
        <f t="shared" si="88"/>
        <v>2024</v>
      </c>
    </row>
    <row r="553" spans="1:35">
      <c r="A553" t="s">
        <v>1764</v>
      </c>
      <c r="B553" s="2">
        <v>45349</v>
      </c>
      <c r="C553" s="2">
        <v>45349</v>
      </c>
      <c r="D553" t="s">
        <v>1765</v>
      </c>
      <c r="E553" t="s">
        <v>146</v>
      </c>
      <c r="F553" t="s">
        <v>38</v>
      </c>
      <c r="G553" t="s">
        <v>52</v>
      </c>
      <c r="H553" t="s">
        <v>243</v>
      </c>
      <c r="I553" t="s">
        <v>244</v>
      </c>
      <c r="J553" t="s">
        <v>55</v>
      </c>
      <c r="K553" t="s">
        <v>80</v>
      </c>
      <c r="L553" t="s">
        <v>1766</v>
      </c>
      <c r="M553" t="s">
        <v>45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46</v>
      </c>
      <c r="U553" t="s">
        <v>47</v>
      </c>
      <c r="V553" t="str">
        <f t="shared" si="79"/>
        <v>Valid</v>
      </c>
      <c r="W553">
        <f t="shared" si="80"/>
        <v>0</v>
      </c>
      <c r="Y553" t="str">
        <f t="shared" si="81"/>
        <v>OK</v>
      </c>
      <c r="Z553" t="str">
        <f t="shared" si="82"/>
        <v>OK</v>
      </c>
      <c r="AA553" t="str">
        <f t="shared" si="83"/>
        <v>OK</v>
      </c>
      <c r="AB553" t="str">
        <f t="shared" si="84"/>
        <v>Valid</v>
      </c>
      <c r="AC553" t="str">
        <f>IF(OR(AB553="Invalid Discount",V553="Invalid Shipping"),
"Invalid",
IF(OR(Y553="Missing Region",
Z553="Missing Ship Mode",
AA553="Missing Discount",
X553="Flagged for Review"),
"Warning",
"Clean"))</f>
        <v>Clean</v>
      </c>
      <c r="AD553">
        <f t="shared" si="85"/>
        <v>0.15</v>
      </c>
      <c r="AE553">
        <f>N553*O553*(1-AD553)</f>
        <v>8027.6295</v>
      </c>
      <c r="AF553">
        <f>AE553-R553</f>
        <v>2531.5394999999999</v>
      </c>
      <c r="AG553" s="3">
        <f t="shared" si="86"/>
        <v>0.31535330572991688</v>
      </c>
      <c r="AH553" t="str">
        <f t="shared" si="87"/>
        <v>February</v>
      </c>
      <c r="AI553">
        <f t="shared" si="88"/>
        <v>2024</v>
      </c>
    </row>
    <row r="554" spans="1:35">
      <c r="A554" t="s">
        <v>1767</v>
      </c>
      <c r="B554" s="2">
        <v>45681</v>
      </c>
      <c r="C554" s="2">
        <v>45687</v>
      </c>
      <c r="D554" t="s">
        <v>1768</v>
      </c>
      <c r="E554" t="s">
        <v>76</v>
      </c>
      <c r="F554" t="s">
        <v>104</v>
      </c>
      <c r="G554" t="s">
        <v>52</v>
      </c>
      <c r="H554" t="s">
        <v>113</v>
      </c>
      <c r="I554" t="s">
        <v>114</v>
      </c>
      <c r="J554" t="s">
        <v>88</v>
      </c>
      <c r="K554" t="s">
        <v>94</v>
      </c>
      <c r="L554" t="s">
        <v>1769</v>
      </c>
      <c r="M554" t="s">
        <v>73</v>
      </c>
      <c r="N554">
        <v>8</v>
      </c>
      <c r="O554">
        <v>312.52999999999997</v>
      </c>
      <c r="P554">
        <v>0.7</v>
      </c>
      <c r="Q554">
        <v>1875.18</v>
      </c>
      <c r="R554">
        <v>1579.17</v>
      </c>
      <c r="S554">
        <v>296.01</v>
      </c>
      <c r="T554" t="s">
        <v>46</v>
      </c>
      <c r="U554" t="s">
        <v>47</v>
      </c>
      <c r="V554" t="str">
        <f t="shared" si="79"/>
        <v>Valid</v>
      </c>
      <c r="W554">
        <f t="shared" si="80"/>
        <v>6</v>
      </c>
      <c r="Y554" t="str">
        <f t="shared" si="81"/>
        <v>OK</v>
      </c>
      <c r="Z554" t="str">
        <f t="shared" si="82"/>
        <v>OK</v>
      </c>
      <c r="AA554" t="str">
        <f t="shared" si="83"/>
        <v>OK</v>
      </c>
      <c r="AB554" t="str">
        <f t="shared" si="84"/>
        <v>Valid</v>
      </c>
      <c r="AC554" t="str">
        <f>IF(OR(AB554="Invalid Discount",V554="Invalid Shipping"),
"Invalid",
IF(OR(Y554="Missing Region",
Z554="Missing Ship Mode",
AA554="Missing Discount",
X554="Flagged for Review"),
"Warning",
"Clean"))</f>
        <v>Clean</v>
      </c>
      <c r="AD554">
        <v>0.7</v>
      </c>
      <c r="AE554">
        <f>N554*O554*(1-AD554)</f>
        <v>750.072</v>
      </c>
      <c r="AF554">
        <f>AE554-R554</f>
        <v>-829.09800000000007</v>
      </c>
      <c r="AG554" s="3">
        <f t="shared" si="86"/>
        <v>-1.1053578856429784</v>
      </c>
      <c r="AH554" t="str">
        <f t="shared" si="87"/>
        <v>January</v>
      </c>
      <c r="AI554">
        <f t="shared" si="88"/>
        <v>2025</v>
      </c>
    </row>
    <row r="555" spans="1:35">
      <c r="A555" t="s">
        <v>1770</v>
      </c>
      <c r="B555" s="2">
        <v>45772</v>
      </c>
      <c r="C555" s="2">
        <v>45775</v>
      </c>
      <c r="D555" t="s">
        <v>1771</v>
      </c>
      <c r="E555" t="s">
        <v>142</v>
      </c>
      <c r="F555" t="s">
        <v>51</v>
      </c>
      <c r="G555" t="s">
        <v>77</v>
      </c>
      <c r="H555" t="s">
        <v>194</v>
      </c>
      <c r="I555" t="s">
        <v>195</v>
      </c>
      <c r="J555" t="s">
        <v>42</v>
      </c>
      <c r="K555" t="s">
        <v>138</v>
      </c>
      <c r="L555" t="s">
        <v>1772</v>
      </c>
      <c r="M555" t="s">
        <v>64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46</v>
      </c>
      <c r="U555" t="s">
        <v>47</v>
      </c>
      <c r="V555" t="str">
        <f t="shared" si="79"/>
        <v>Valid</v>
      </c>
      <c r="W555">
        <f t="shared" si="80"/>
        <v>3</v>
      </c>
      <c r="Y555" t="str">
        <f t="shared" si="81"/>
        <v>OK</v>
      </c>
      <c r="Z555" t="str">
        <f t="shared" si="82"/>
        <v>OK</v>
      </c>
      <c r="AA555" t="str">
        <f t="shared" si="83"/>
        <v>OK</v>
      </c>
      <c r="AB555" t="str">
        <f t="shared" si="84"/>
        <v>Valid</v>
      </c>
      <c r="AC555" t="str">
        <f>IF(OR(AB555="Invalid Discount",V555="Invalid Shipping"),
"Invalid",
IF(OR(Y555="Missing Region",
Z555="Missing Ship Mode",
AA555="Missing Discount",
X555="Flagged for Review"),
"Warning",
"Clean"))</f>
        <v>Clean</v>
      </c>
      <c r="AD555">
        <f t="shared" si="85"/>
        <v>0.25</v>
      </c>
      <c r="AE555">
        <f>N555*O555*(1-AD555)</f>
        <v>8735.2425000000003</v>
      </c>
      <c r="AF555">
        <f>AE555-R555</f>
        <v>2115.1725000000006</v>
      </c>
      <c r="AG555" s="3">
        <f t="shared" si="86"/>
        <v>0.24214239043735769</v>
      </c>
      <c r="AH555" t="str">
        <f t="shared" si="87"/>
        <v>April</v>
      </c>
      <c r="AI555">
        <f t="shared" si="88"/>
        <v>2025</v>
      </c>
    </row>
    <row r="556" spans="1:35">
      <c r="A556" t="s">
        <v>1773</v>
      </c>
      <c r="B556" s="2">
        <v>45577</v>
      </c>
      <c r="C556" s="2">
        <v>45582</v>
      </c>
      <c r="D556" t="s">
        <v>1774</v>
      </c>
      <c r="E556" t="s">
        <v>67</v>
      </c>
      <c r="F556" t="s">
        <v>38</v>
      </c>
      <c r="G556" t="s">
        <v>219</v>
      </c>
      <c r="H556" t="s">
        <v>243</v>
      </c>
      <c r="I556" t="s">
        <v>244</v>
      </c>
      <c r="J556" t="s">
        <v>55</v>
      </c>
      <c r="K556" t="s">
        <v>71</v>
      </c>
      <c r="L556" t="s">
        <v>1775</v>
      </c>
      <c r="M556" t="s">
        <v>73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46</v>
      </c>
      <c r="U556" t="s">
        <v>47</v>
      </c>
      <c r="V556" t="str">
        <f t="shared" si="79"/>
        <v>Valid</v>
      </c>
      <c r="W556">
        <f t="shared" si="80"/>
        <v>5</v>
      </c>
      <c r="Y556" t="str">
        <f t="shared" si="81"/>
        <v>Missing Region</v>
      </c>
      <c r="Z556" t="str">
        <f t="shared" si="82"/>
        <v>OK</v>
      </c>
      <c r="AA556" t="str">
        <f t="shared" si="83"/>
        <v>OK</v>
      </c>
      <c r="AB556" t="str">
        <f t="shared" si="84"/>
        <v>Valid</v>
      </c>
      <c r="AC556" t="str">
        <f>IF(OR(AB556="Invalid Discount",V556="Invalid Shipping"),
"Invalid",
IF(OR(Y556="Missing Region",
Z556="Missing Ship Mode",
AA556="Missing Discount",
X556="Flagged for Review"),
"Warning",
"Clean"))</f>
        <v>Warning</v>
      </c>
      <c r="AD556">
        <f t="shared" si="85"/>
        <v>0.05</v>
      </c>
      <c r="AE556">
        <f>N556*O556*(1-AD556)</f>
        <v>4070.636</v>
      </c>
      <c r="AF556">
        <f>AE556-R556</f>
        <v>1239.0160000000001</v>
      </c>
      <c r="AG556" s="3">
        <f t="shared" si="86"/>
        <v>0.30437897173807732</v>
      </c>
      <c r="AH556" t="str">
        <f t="shared" si="87"/>
        <v>October</v>
      </c>
      <c r="AI556">
        <f t="shared" si="88"/>
        <v>2024</v>
      </c>
    </row>
    <row r="557" spans="1:35">
      <c r="A557" t="s">
        <v>1776</v>
      </c>
      <c r="B557" s="2">
        <v>45692</v>
      </c>
      <c r="C557" s="2">
        <v>45698</v>
      </c>
      <c r="D557" t="s">
        <v>1777</v>
      </c>
      <c r="E557" t="s">
        <v>76</v>
      </c>
      <c r="F557" t="s">
        <v>51</v>
      </c>
      <c r="G557" t="s">
        <v>68</v>
      </c>
      <c r="H557" t="s">
        <v>69</v>
      </c>
      <c r="I557" t="s">
        <v>70</v>
      </c>
      <c r="J557" t="s">
        <v>42</v>
      </c>
      <c r="K557" t="s">
        <v>138</v>
      </c>
      <c r="L557" t="s">
        <v>1778</v>
      </c>
      <c r="M557" t="s">
        <v>73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46</v>
      </c>
      <c r="U557" t="s">
        <v>47</v>
      </c>
      <c r="V557" t="str">
        <f t="shared" si="79"/>
        <v>Valid</v>
      </c>
      <c r="W557">
        <f t="shared" si="80"/>
        <v>6</v>
      </c>
      <c r="Y557" t="str">
        <f t="shared" si="81"/>
        <v>OK</v>
      </c>
      <c r="Z557" t="str">
        <f t="shared" si="82"/>
        <v>OK</v>
      </c>
      <c r="AA557" t="str">
        <f t="shared" si="83"/>
        <v>OK</v>
      </c>
      <c r="AB557" t="str">
        <f t="shared" si="84"/>
        <v>Valid</v>
      </c>
      <c r="AC557" t="str">
        <f>IF(OR(AB557="Invalid Discount",V557="Invalid Shipping"),
"Invalid",
IF(OR(Y557="Missing Region",
Z557="Missing Ship Mode",
AA557="Missing Discount",
X557="Flagged for Review"),
"Warning",
"Clean"))</f>
        <v>Clean</v>
      </c>
      <c r="AD557">
        <f t="shared" si="85"/>
        <v>0.05</v>
      </c>
      <c r="AE557">
        <f>N557*O557*(1-AD557)</f>
        <v>5943.9599999999991</v>
      </c>
      <c r="AF557">
        <f>AE557-R557</f>
        <v>2339.8199999999993</v>
      </c>
      <c r="AG557" s="3">
        <f t="shared" si="86"/>
        <v>0.39364665980255581</v>
      </c>
      <c r="AH557" t="str">
        <f t="shared" si="87"/>
        <v>February</v>
      </c>
      <c r="AI557">
        <f t="shared" si="88"/>
        <v>2025</v>
      </c>
    </row>
    <row r="558" spans="1:35">
      <c r="A558" t="s">
        <v>1779</v>
      </c>
      <c r="B558" s="2">
        <v>45466</v>
      </c>
      <c r="C558" s="2">
        <v>45472</v>
      </c>
      <c r="D558" t="s">
        <v>1780</v>
      </c>
      <c r="E558" t="s">
        <v>93</v>
      </c>
      <c r="F558" t="s">
        <v>38</v>
      </c>
      <c r="G558" t="s">
        <v>39</v>
      </c>
      <c r="H558" t="s">
        <v>251</v>
      </c>
      <c r="I558" t="s">
        <v>252</v>
      </c>
      <c r="J558" t="s">
        <v>55</v>
      </c>
      <c r="K558" t="s">
        <v>56</v>
      </c>
      <c r="L558" t="s">
        <v>1781</v>
      </c>
      <c r="M558" t="s">
        <v>64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46</v>
      </c>
      <c r="U558" t="s">
        <v>117</v>
      </c>
      <c r="V558" t="str">
        <f t="shared" si="79"/>
        <v>Valid</v>
      </c>
      <c r="W558">
        <f t="shared" si="80"/>
        <v>6</v>
      </c>
      <c r="Y558" t="str">
        <f t="shared" si="81"/>
        <v>OK</v>
      </c>
      <c r="Z558" t="str">
        <f t="shared" si="82"/>
        <v>OK</v>
      </c>
      <c r="AA558" t="str">
        <f t="shared" si="83"/>
        <v>OK</v>
      </c>
      <c r="AB558" t="str">
        <f t="shared" si="84"/>
        <v>Valid</v>
      </c>
      <c r="AC558" t="str">
        <f>IF(OR(AB558="Invalid Discount",V558="Invalid Shipping"),
"Invalid",
IF(OR(Y558="Missing Region",
Z558="Missing Ship Mode",
AA558="Missing Discount",
X558="Flagged for Review"),
"Warning",
"Clean"))</f>
        <v>Clean</v>
      </c>
      <c r="AD558">
        <f t="shared" si="85"/>
        <v>0</v>
      </c>
      <c r="AE558">
        <f>N558*O558*(1-AD558)</f>
        <v>4426.66</v>
      </c>
      <c r="AF558">
        <f>AE558-R558</f>
        <v>1391.46</v>
      </c>
      <c r="AG558" s="3">
        <f t="shared" si="86"/>
        <v>0.31433631677156143</v>
      </c>
      <c r="AH558" t="str">
        <f t="shared" si="87"/>
        <v>June</v>
      </c>
      <c r="AI558">
        <f t="shared" si="88"/>
        <v>2024</v>
      </c>
    </row>
    <row r="559" spans="1:35">
      <c r="A559" t="s">
        <v>1782</v>
      </c>
      <c r="B559" s="2">
        <v>45420</v>
      </c>
      <c r="C559" s="2">
        <v>45426</v>
      </c>
      <c r="D559" t="s">
        <v>1783</v>
      </c>
      <c r="E559" t="s">
        <v>85</v>
      </c>
      <c r="F559" t="s">
        <v>109</v>
      </c>
      <c r="G559" t="s">
        <v>39</v>
      </c>
      <c r="H559" t="s">
        <v>251</v>
      </c>
      <c r="I559" t="s">
        <v>252</v>
      </c>
      <c r="J559" t="s">
        <v>88</v>
      </c>
      <c r="K559" t="s">
        <v>185</v>
      </c>
      <c r="L559" t="s">
        <v>1784</v>
      </c>
      <c r="M559" t="s">
        <v>64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46</v>
      </c>
      <c r="U559" t="s">
        <v>82</v>
      </c>
      <c r="V559" t="str">
        <f t="shared" si="79"/>
        <v>Valid</v>
      </c>
      <c r="W559">
        <f t="shared" si="80"/>
        <v>6</v>
      </c>
      <c r="Y559" t="str">
        <f t="shared" si="81"/>
        <v>OK</v>
      </c>
      <c r="Z559" t="str">
        <f t="shared" si="82"/>
        <v>OK</v>
      </c>
      <c r="AA559" t="str">
        <f t="shared" si="83"/>
        <v>OK</v>
      </c>
      <c r="AB559" t="str">
        <f t="shared" si="84"/>
        <v>Valid</v>
      </c>
      <c r="AC559" t="str">
        <f>IF(OR(AB559="Invalid Discount",V559="Invalid Shipping"),
"Invalid",
IF(OR(Y559="Missing Region",
Z559="Missing Ship Mode",
AA559="Missing Discount",
X559="Flagged for Review"),
"Warning",
"Clean"))</f>
        <v>Clean</v>
      </c>
      <c r="AD559">
        <f t="shared" si="85"/>
        <v>0.05</v>
      </c>
      <c r="AE559">
        <f>N559*O559*(1-AD559)</f>
        <v>32228.882999999998</v>
      </c>
      <c r="AF559">
        <f>AE559-R559</f>
        <v>7257.5229999999974</v>
      </c>
      <c r="AG559" s="3">
        <f t="shared" si="86"/>
        <v>0.22518692317074712</v>
      </c>
      <c r="AH559" t="str">
        <f t="shared" si="87"/>
        <v>May</v>
      </c>
      <c r="AI559">
        <f t="shared" si="88"/>
        <v>2024</v>
      </c>
    </row>
    <row r="560" spans="1:35">
      <c r="A560" t="s">
        <v>1785</v>
      </c>
      <c r="B560" s="2">
        <v>45904</v>
      </c>
      <c r="C560" s="2">
        <v>45904</v>
      </c>
      <c r="D560" t="s">
        <v>1786</v>
      </c>
      <c r="E560" t="s">
        <v>103</v>
      </c>
      <c r="F560" t="s">
        <v>104</v>
      </c>
      <c r="G560" t="s">
        <v>39</v>
      </c>
      <c r="H560" t="s">
        <v>136</v>
      </c>
      <c r="I560" t="s">
        <v>137</v>
      </c>
      <c r="J560" t="s">
        <v>88</v>
      </c>
      <c r="K560" t="s">
        <v>289</v>
      </c>
      <c r="L560" t="s">
        <v>1787</v>
      </c>
      <c r="M560" t="s">
        <v>64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46</v>
      </c>
      <c r="U560" t="s">
        <v>47</v>
      </c>
      <c r="V560" t="str">
        <f t="shared" si="79"/>
        <v>Valid</v>
      </c>
      <c r="W560">
        <f t="shared" si="80"/>
        <v>0</v>
      </c>
      <c r="Y560" t="str">
        <f t="shared" si="81"/>
        <v>OK</v>
      </c>
      <c r="Z560" t="str">
        <f t="shared" si="82"/>
        <v>OK</v>
      </c>
      <c r="AA560" t="str">
        <f t="shared" si="83"/>
        <v>OK</v>
      </c>
      <c r="AB560" t="str">
        <f t="shared" si="84"/>
        <v>Valid</v>
      </c>
      <c r="AC560" t="str">
        <f>IF(OR(AB560="Invalid Discount",V560="Invalid Shipping"),
"Invalid",
IF(OR(Y560="Missing Region",
Z560="Missing Ship Mode",
AA560="Missing Discount",
X560="Flagged for Review"),
"Warning",
"Clean"))</f>
        <v>Clean</v>
      </c>
      <c r="AD560">
        <f t="shared" si="85"/>
        <v>0.2</v>
      </c>
      <c r="AE560">
        <f>N560*O560*(1-AD560)</f>
        <v>19711.68</v>
      </c>
      <c r="AF560">
        <f>AE560-R560</f>
        <v>5249.880000000001</v>
      </c>
      <c r="AG560" s="3">
        <f t="shared" si="86"/>
        <v>0.26633346320557155</v>
      </c>
      <c r="AH560" t="str">
        <f t="shared" si="87"/>
        <v>September</v>
      </c>
      <c r="AI560">
        <f t="shared" si="88"/>
        <v>2025</v>
      </c>
    </row>
    <row r="561" spans="1:35">
      <c r="A561" t="s">
        <v>1788</v>
      </c>
      <c r="B561" s="2">
        <v>45930</v>
      </c>
      <c r="C561" s="2">
        <v>45937</v>
      </c>
      <c r="D561" t="s">
        <v>1789</v>
      </c>
      <c r="E561" t="s">
        <v>176</v>
      </c>
      <c r="F561" t="s">
        <v>104</v>
      </c>
      <c r="G561" t="s">
        <v>52</v>
      </c>
      <c r="H561" t="s">
        <v>159</v>
      </c>
      <c r="I561" t="s">
        <v>160</v>
      </c>
      <c r="J561" t="s">
        <v>88</v>
      </c>
      <c r="K561" t="s">
        <v>94</v>
      </c>
      <c r="L561" t="s">
        <v>1790</v>
      </c>
      <c r="M561" t="s">
        <v>45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46</v>
      </c>
      <c r="U561" t="s">
        <v>117</v>
      </c>
      <c r="V561" t="str">
        <f t="shared" si="79"/>
        <v>Valid</v>
      </c>
      <c r="W561">
        <f t="shared" si="80"/>
        <v>7</v>
      </c>
      <c r="Y561" t="str">
        <f t="shared" si="81"/>
        <v>OK</v>
      </c>
      <c r="Z561" t="str">
        <f t="shared" si="82"/>
        <v>OK</v>
      </c>
      <c r="AA561" t="str">
        <f t="shared" si="83"/>
        <v>OK</v>
      </c>
      <c r="AB561" t="str">
        <f t="shared" si="84"/>
        <v>Valid</v>
      </c>
      <c r="AC561" t="str">
        <f>IF(OR(AB561="Invalid Discount",V561="Invalid Shipping"),
"Invalid",
IF(OR(Y561="Missing Region",
Z561="Missing Ship Mode",
AA561="Missing Discount",
X561="Flagged for Review"),
"Warning",
"Clean"))</f>
        <v>Clean</v>
      </c>
      <c r="AD561">
        <f t="shared" si="85"/>
        <v>0.1</v>
      </c>
      <c r="AE561">
        <f>N561*O561*(1-AD561)</f>
        <v>14750.190000000002</v>
      </c>
      <c r="AF561">
        <f>AE561-R561</f>
        <v>5267.6100000000024</v>
      </c>
      <c r="AG561" s="3">
        <f t="shared" si="86"/>
        <v>0.35712150148574368</v>
      </c>
      <c r="AH561" t="str">
        <f t="shared" si="87"/>
        <v>September</v>
      </c>
      <c r="AI561">
        <f t="shared" si="88"/>
        <v>2025</v>
      </c>
    </row>
    <row r="562" spans="1:35">
      <c r="A562" t="s">
        <v>1791</v>
      </c>
      <c r="B562" s="2">
        <v>45307</v>
      </c>
      <c r="C562" s="2">
        <v>45313</v>
      </c>
      <c r="D562" t="s">
        <v>1792</v>
      </c>
      <c r="E562" t="s">
        <v>67</v>
      </c>
      <c r="F562" t="s">
        <v>38</v>
      </c>
      <c r="G562" t="s">
        <v>77</v>
      </c>
      <c r="H562" t="s">
        <v>204</v>
      </c>
      <c r="I562" t="s">
        <v>205</v>
      </c>
      <c r="J562" t="s">
        <v>42</v>
      </c>
      <c r="K562" t="s">
        <v>138</v>
      </c>
      <c r="L562" t="s">
        <v>1793</v>
      </c>
      <c r="M562" t="s">
        <v>73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46</v>
      </c>
      <c r="U562" t="s">
        <v>82</v>
      </c>
      <c r="V562" t="str">
        <f t="shared" si="79"/>
        <v>Valid</v>
      </c>
      <c r="W562">
        <f t="shared" si="80"/>
        <v>6</v>
      </c>
      <c r="Y562" t="str">
        <f t="shared" si="81"/>
        <v>OK</v>
      </c>
      <c r="Z562" t="str">
        <f t="shared" si="82"/>
        <v>OK</v>
      </c>
      <c r="AA562" t="str">
        <f t="shared" si="83"/>
        <v>OK</v>
      </c>
      <c r="AB562" t="str">
        <f t="shared" si="84"/>
        <v>Valid</v>
      </c>
      <c r="AC562" t="str">
        <f>IF(OR(AB562="Invalid Discount",V562="Invalid Shipping"),
"Invalid",
IF(OR(Y562="Missing Region",
Z562="Missing Ship Mode",
AA562="Missing Discount",
X562="Flagged for Review"),
"Warning",
"Clean"))</f>
        <v>Clean</v>
      </c>
      <c r="AD562">
        <f t="shared" si="85"/>
        <v>0</v>
      </c>
      <c r="AE562">
        <f>N562*O562*(1-AD562)</f>
        <v>1130.1199999999999</v>
      </c>
      <c r="AF562">
        <f>AE562-R562</f>
        <v>281.49999999999989</v>
      </c>
      <c r="AG562" s="3">
        <f t="shared" si="86"/>
        <v>0.249088592361873</v>
      </c>
      <c r="AH562" t="str">
        <f t="shared" si="87"/>
        <v>January</v>
      </c>
      <c r="AI562">
        <f t="shared" si="88"/>
        <v>2024</v>
      </c>
    </row>
    <row r="563" spans="1:35">
      <c r="A563" t="s">
        <v>1794</v>
      </c>
      <c r="B563" s="2">
        <v>45852</v>
      </c>
      <c r="C563" s="2">
        <v>45856</v>
      </c>
      <c r="D563" t="s">
        <v>1795</v>
      </c>
      <c r="E563" t="s">
        <v>103</v>
      </c>
      <c r="F563" t="s">
        <v>38</v>
      </c>
      <c r="G563" t="s">
        <v>39</v>
      </c>
      <c r="H563" t="s">
        <v>136</v>
      </c>
      <c r="I563" t="s">
        <v>137</v>
      </c>
      <c r="J563" t="s">
        <v>88</v>
      </c>
      <c r="K563" t="s">
        <v>94</v>
      </c>
      <c r="L563" t="s">
        <v>1796</v>
      </c>
      <c r="M563" t="s">
        <v>64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125</v>
      </c>
      <c r="U563" t="s">
        <v>117</v>
      </c>
      <c r="V563" t="str">
        <f t="shared" si="79"/>
        <v>Valid</v>
      </c>
      <c r="W563">
        <f t="shared" si="80"/>
        <v>4</v>
      </c>
      <c r="Y563" t="str">
        <f t="shared" si="81"/>
        <v>OK</v>
      </c>
      <c r="Z563" t="str">
        <f t="shared" si="82"/>
        <v>OK</v>
      </c>
      <c r="AA563" t="str">
        <f t="shared" si="83"/>
        <v>OK</v>
      </c>
      <c r="AB563" t="str">
        <f t="shared" si="84"/>
        <v>Valid</v>
      </c>
      <c r="AC563" t="str">
        <f>IF(OR(AB563="Invalid Discount",V563="Invalid Shipping"),
"Invalid",
IF(OR(Y563="Missing Region",
Z563="Missing Ship Mode",
AA563="Missing Discount",
X563="Flagged for Review"),
"Warning",
"Clean"))</f>
        <v>Clean</v>
      </c>
      <c r="AD563">
        <f t="shared" si="85"/>
        <v>0</v>
      </c>
      <c r="AE563">
        <f>N563*O563*(1-AD563)</f>
        <v>2900.88</v>
      </c>
      <c r="AF563">
        <f>AE563-R563</f>
        <v>509.0300000000002</v>
      </c>
      <c r="AG563" s="3">
        <f t="shared" si="86"/>
        <v>0.17547433882132324</v>
      </c>
      <c r="AH563" t="str">
        <f t="shared" si="87"/>
        <v>July</v>
      </c>
      <c r="AI563">
        <f t="shared" si="88"/>
        <v>2025</v>
      </c>
    </row>
    <row r="564" spans="1:35">
      <c r="A564" t="s">
        <v>1797</v>
      </c>
      <c r="B564" s="2">
        <v>45422</v>
      </c>
      <c r="C564" s="2">
        <v>45428</v>
      </c>
      <c r="D564" t="s">
        <v>1798</v>
      </c>
      <c r="E564" t="s">
        <v>37</v>
      </c>
      <c r="F564" t="s">
        <v>38</v>
      </c>
      <c r="G564" t="s">
        <v>39</v>
      </c>
      <c r="H564" t="s">
        <v>136</v>
      </c>
      <c r="I564" t="s">
        <v>137</v>
      </c>
      <c r="J564" t="s">
        <v>42</v>
      </c>
      <c r="K564" t="s">
        <v>167</v>
      </c>
      <c r="L564" t="s">
        <v>1799</v>
      </c>
      <c r="M564" t="s">
        <v>58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169</v>
      </c>
      <c r="U564" t="s">
        <v>117</v>
      </c>
      <c r="V564" t="str">
        <f t="shared" si="79"/>
        <v>Valid</v>
      </c>
      <c r="W564">
        <f t="shared" si="80"/>
        <v>6</v>
      </c>
      <c r="Y564" t="str">
        <f t="shared" si="81"/>
        <v>OK</v>
      </c>
      <c r="Z564" t="str">
        <f t="shared" si="82"/>
        <v>OK</v>
      </c>
      <c r="AA564" t="str">
        <f t="shared" si="83"/>
        <v>OK</v>
      </c>
      <c r="AB564" t="str">
        <f t="shared" si="84"/>
        <v>Valid</v>
      </c>
      <c r="AC564" t="str">
        <f>IF(OR(AB564="Invalid Discount",V564="Invalid Shipping"),
"Invalid",
IF(OR(Y564="Missing Region",
Z564="Missing Ship Mode",
AA564="Missing Discount",
X564="Flagged for Review"),
"Warning",
"Clean"))</f>
        <v>Clean</v>
      </c>
      <c r="AD564">
        <f t="shared" si="85"/>
        <v>0.2</v>
      </c>
      <c r="AE564">
        <f>N564*O564*(1-AD564)</f>
        <v>680.62400000000014</v>
      </c>
      <c r="AF564">
        <f>AE564-R564</f>
        <v>217.13400000000013</v>
      </c>
      <c r="AG564" s="3">
        <f t="shared" si="86"/>
        <v>0.31902195632243363</v>
      </c>
      <c r="AH564" t="str">
        <f t="shared" si="87"/>
        <v>May</v>
      </c>
      <c r="AI564">
        <f t="shared" si="88"/>
        <v>2024</v>
      </c>
    </row>
    <row r="565" spans="1:35">
      <c r="A565" t="s">
        <v>1800</v>
      </c>
      <c r="B565" s="2">
        <v>45418</v>
      </c>
      <c r="C565" s="2">
        <v>45424</v>
      </c>
      <c r="D565" t="s">
        <v>1801</v>
      </c>
      <c r="E565" t="s">
        <v>67</v>
      </c>
      <c r="F565" t="s">
        <v>104</v>
      </c>
      <c r="G565" t="s">
        <v>77</v>
      </c>
      <c r="H565" t="s">
        <v>204</v>
      </c>
      <c r="I565" t="s">
        <v>205</v>
      </c>
      <c r="J565" t="s">
        <v>55</v>
      </c>
      <c r="K565" t="s">
        <v>56</v>
      </c>
      <c r="L565" t="s">
        <v>1802</v>
      </c>
      <c r="M565" t="s">
        <v>73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125</v>
      </c>
      <c r="U565" t="s">
        <v>82</v>
      </c>
      <c r="V565" t="str">
        <f t="shared" si="79"/>
        <v>Valid</v>
      </c>
      <c r="W565">
        <f t="shared" si="80"/>
        <v>6</v>
      </c>
      <c r="Y565" t="str">
        <f t="shared" si="81"/>
        <v>OK</v>
      </c>
      <c r="Z565" t="str">
        <f t="shared" si="82"/>
        <v>OK</v>
      </c>
      <c r="AA565" t="str">
        <f t="shared" si="83"/>
        <v>OK</v>
      </c>
      <c r="AB565" t="str">
        <f t="shared" si="84"/>
        <v>Valid</v>
      </c>
      <c r="AC565" t="str">
        <f>IF(OR(AB565="Invalid Discount",V565="Invalid Shipping"),
"Invalid",
IF(OR(Y565="Missing Region",
Z565="Missing Ship Mode",
AA565="Missing Discount",
X565="Flagged for Review"),
"Warning",
"Clean"))</f>
        <v>Clean</v>
      </c>
      <c r="AD565">
        <f t="shared" si="85"/>
        <v>0.2</v>
      </c>
      <c r="AE565">
        <f>N565*O565*(1-AD565)</f>
        <v>5694.9840000000004</v>
      </c>
      <c r="AF565">
        <f>AE565-R565</f>
        <v>1076.6540000000005</v>
      </c>
      <c r="AG565" s="3">
        <f t="shared" si="86"/>
        <v>0.1890530333360024</v>
      </c>
      <c r="AH565" t="str">
        <f t="shared" si="87"/>
        <v>May</v>
      </c>
      <c r="AI565">
        <f t="shared" si="88"/>
        <v>2024</v>
      </c>
    </row>
    <row r="566" spans="1:35">
      <c r="A566" t="s">
        <v>1803</v>
      </c>
      <c r="B566" s="2">
        <v>45606</v>
      </c>
      <c r="C566" s="2">
        <v>45610</v>
      </c>
      <c r="D566" t="s">
        <v>1804</v>
      </c>
      <c r="E566" t="s">
        <v>146</v>
      </c>
      <c r="F566" t="s">
        <v>104</v>
      </c>
      <c r="G566" t="s">
        <v>68</v>
      </c>
      <c r="H566" t="s">
        <v>98</v>
      </c>
      <c r="I566" t="s">
        <v>99</v>
      </c>
      <c r="J566" t="s">
        <v>55</v>
      </c>
      <c r="K566" t="s">
        <v>56</v>
      </c>
      <c r="L566" t="s">
        <v>1805</v>
      </c>
      <c r="M566" t="s">
        <v>64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46</v>
      </c>
      <c r="U566" t="s">
        <v>47</v>
      </c>
      <c r="V566" t="str">
        <f t="shared" si="79"/>
        <v>Valid</v>
      </c>
      <c r="W566">
        <f t="shared" si="80"/>
        <v>4</v>
      </c>
      <c r="Y566" t="str">
        <f t="shared" si="81"/>
        <v>OK</v>
      </c>
      <c r="Z566" t="str">
        <f t="shared" si="82"/>
        <v>OK</v>
      </c>
      <c r="AA566" t="str">
        <f t="shared" si="83"/>
        <v>OK</v>
      </c>
      <c r="AB566" t="str">
        <f t="shared" si="84"/>
        <v>Valid</v>
      </c>
      <c r="AC566" t="str">
        <f>IF(OR(AB566="Invalid Discount",V566="Invalid Shipping"),
"Invalid",
IF(OR(Y566="Missing Region",
Z566="Missing Ship Mode",
AA566="Missing Discount",
X566="Flagged for Review"),
"Warning",
"Clean"))</f>
        <v>Clean</v>
      </c>
      <c r="AD566">
        <f t="shared" si="85"/>
        <v>0.2</v>
      </c>
      <c r="AE566">
        <f>N566*O566*(1-AD566)</f>
        <v>1474.1440000000002</v>
      </c>
      <c r="AF566">
        <f>AE566-R566</f>
        <v>505.6840000000002</v>
      </c>
      <c r="AG566" s="3">
        <f t="shared" si="86"/>
        <v>0.34303568715132315</v>
      </c>
      <c r="AH566" t="str">
        <f t="shared" si="87"/>
        <v>November</v>
      </c>
      <c r="AI566">
        <f t="shared" si="88"/>
        <v>2024</v>
      </c>
    </row>
    <row r="567" spans="1:35">
      <c r="A567" t="s">
        <v>1806</v>
      </c>
      <c r="B567" s="2">
        <v>45876</v>
      </c>
      <c r="C567" s="2">
        <v>45882</v>
      </c>
      <c r="D567" t="s">
        <v>1807</v>
      </c>
      <c r="E567" t="s">
        <v>50</v>
      </c>
      <c r="F567" t="s">
        <v>104</v>
      </c>
      <c r="G567" t="s">
        <v>39</v>
      </c>
      <c r="H567" t="s">
        <v>365</v>
      </c>
      <c r="I567" t="s">
        <v>366</v>
      </c>
      <c r="J567" t="s">
        <v>88</v>
      </c>
      <c r="K567" t="s">
        <v>185</v>
      </c>
      <c r="L567" t="s">
        <v>1808</v>
      </c>
      <c r="M567" t="s">
        <v>73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116</v>
      </c>
      <c r="U567" t="s">
        <v>82</v>
      </c>
      <c r="V567" t="str">
        <f t="shared" si="79"/>
        <v>Valid</v>
      </c>
      <c r="W567">
        <f t="shared" si="80"/>
        <v>6</v>
      </c>
      <c r="Y567" t="str">
        <f t="shared" si="81"/>
        <v>OK</v>
      </c>
      <c r="Z567" t="str">
        <f t="shared" si="82"/>
        <v>OK</v>
      </c>
      <c r="AA567" t="str">
        <f t="shared" si="83"/>
        <v>OK</v>
      </c>
      <c r="AB567" t="str">
        <f t="shared" si="84"/>
        <v>Valid</v>
      </c>
      <c r="AC567" t="str">
        <f>IF(OR(AB567="Invalid Discount",V567="Invalid Shipping"),
"Invalid",
IF(OR(Y567="Missing Region",
Z567="Missing Ship Mode",
AA567="Missing Discount",
X567="Flagged for Review"),
"Warning",
"Clean"))</f>
        <v>Clean</v>
      </c>
      <c r="AD567">
        <f t="shared" si="85"/>
        <v>0.2</v>
      </c>
      <c r="AE567">
        <f>N567*O567*(1-AD567)</f>
        <v>9224.9279999999999</v>
      </c>
      <c r="AF567">
        <f>AE567-R567</f>
        <v>2219.7280000000001</v>
      </c>
      <c r="AG567" s="3">
        <f t="shared" si="86"/>
        <v>0.24062279944081949</v>
      </c>
      <c r="AH567" t="str">
        <f t="shared" si="87"/>
        <v>August</v>
      </c>
      <c r="AI567">
        <f t="shared" si="88"/>
        <v>2025</v>
      </c>
    </row>
    <row r="568" spans="1:35">
      <c r="A568" t="s">
        <v>1809</v>
      </c>
      <c r="B568" s="2">
        <v>45515</v>
      </c>
      <c r="C568" s="2">
        <v>45523</v>
      </c>
      <c r="D568" t="s">
        <v>1810</v>
      </c>
      <c r="E568" t="s">
        <v>146</v>
      </c>
      <c r="F568" t="s">
        <v>51</v>
      </c>
      <c r="G568" t="s">
        <v>77</v>
      </c>
      <c r="H568" t="s">
        <v>78</v>
      </c>
      <c r="I568" t="s">
        <v>79</v>
      </c>
      <c r="J568" t="s">
        <v>42</v>
      </c>
      <c r="K568" t="s">
        <v>43</v>
      </c>
      <c r="L568" t="s">
        <v>1811</v>
      </c>
      <c r="M568" t="s">
        <v>58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169</v>
      </c>
      <c r="U568" t="s">
        <v>117</v>
      </c>
      <c r="V568" t="str">
        <f t="shared" si="79"/>
        <v>Valid</v>
      </c>
      <c r="W568">
        <f t="shared" si="80"/>
        <v>8</v>
      </c>
      <c r="Y568" t="str">
        <f t="shared" si="81"/>
        <v>OK</v>
      </c>
      <c r="Z568" t="str">
        <f t="shared" si="82"/>
        <v>OK</v>
      </c>
      <c r="AA568" t="str">
        <f t="shared" si="83"/>
        <v>OK</v>
      </c>
      <c r="AB568" t="str">
        <f t="shared" si="84"/>
        <v>Valid</v>
      </c>
      <c r="AC568" t="str">
        <f>IF(OR(AB568="Invalid Discount",V568="Invalid Shipping"),
"Invalid",
IF(OR(Y568="Missing Region",
Z568="Missing Ship Mode",
AA568="Missing Discount",
X568="Flagged for Review"),
"Warning",
"Clean"))</f>
        <v>Clean</v>
      </c>
      <c r="AD568">
        <f t="shared" si="85"/>
        <v>0.1</v>
      </c>
      <c r="AE568">
        <f>N568*O568*(1-AD568)</f>
        <v>4712.2020000000002</v>
      </c>
      <c r="AF568">
        <f>AE568-R568</f>
        <v>860.29200000000037</v>
      </c>
      <c r="AG568" s="3">
        <f t="shared" si="86"/>
        <v>0.18256687637754077</v>
      </c>
      <c r="AH568" t="str">
        <f t="shared" si="87"/>
        <v>August</v>
      </c>
      <c r="AI568">
        <f t="shared" si="88"/>
        <v>2024</v>
      </c>
    </row>
    <row r="569" spans="1:35">
      <c r="A569" t="s">
        <v>1812</v>
      </c>
      <c r="B569" s="2">
        <v>45328</v>
      </c>
      <c r="C569" s="2">
        <v>45332</v>
      </c>
      <c r="D569" t="s">
        <v>1813</v>
      </c>
      <c r="E569" t="s">
        <v>67</v>
      </c>
      <c r="F569" t="s">
        <v>109</v>
      </c>
      <c r="G569" t="s">
        <v>39</v>
      </c>
      <c r="H569" t="s">
        <v>150</v>
      </c>
      <c r="I569" t="s">
        <v>151</v>
      </c>
      <c r="J569" t="s">
        <v>55</v>
      </c>
      <c r="K569" t="s">
        <v>71</v>
      </c>
      <c r="L569" t="s">
        <v>612</v>
      </c>
      <c r="M569" t="s">
        <v>58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46</v>
      </c>
      <c r="U569" t="s">
        <v>47</v>
      </c>
      <c r="V569" t="str">
        <f t="shared" si="79"/>
        <v>Valid</v>
      </c>
      <c r="W569">
        <f t="shared" si="80"/>
        <v>4</v>
      </c>
      <c r="Y569" t="str">
        <f t="shared" si="81"/>
        <v>OK</v>
      </c>
      <c r="Z569" t="str">
        <f t="shared" si="82"/>
        <v>OK</v>
      </c>
      <c r="AA569" t="str">
        <f t="shared" si="83"/>
        <v>OK</v>
      </c>
      <c r="AB569" t="str">
        <f t="shared" si="84"/>
        <v>Valid</v>
      </c>
      <c r="AC569" t="str">
        <f>IF(OR(AB569="Invalid Discount",V569="Invalid Shipping"),
"Invalid",
IF(OR(Y569="Missing Region",
Z569="Missing Ship Mode",
AA569="Missing Discount",
X569="Flagged for Review"),
"Warning",
"Clean"))</f>
        <v>Clean</v>
      </c>
      <c r="AD569">
        <f t="shared" si="85"/>
        <v>0.05</v>
      </c>
      <c r="AE569">
        <f>N569*O569*(1-AD569)</f>
        <v>1305.357</v>
      </c>
      <c r="AF569">
        <f>AE569-R569</f>
        <v>573.46699999999998</v>
      </c>
      <c r="AG569" s="3">
        <f t="shared" si="86"/>
        <v>0.4393181328939133</v>
      </c>
      <c r="AH569" t="str">
        <f t="shared" si="87"/>
        <v>February</v>
      </c>
      <c r="AI569">
        <f t="shared" si="88"/>
        <v>2024</v>
      </c>
    </row>
    <row r="570" spans="1:35">
      <c r="A570" t="s">
        <v>1814</v>
      </c>
      <c r="B570" s="2">
        <v>45312</v>
      </c>
      <c r="C570" s="2">
        <v>45315</v>
      </c>
      <c r="D570" t="s">
        <v>1815</v>
      </c>
      <c r="E570" t="s">
        <v>279</v>
      </c>
      <c r="F570" t="s">
        <v>104</v>
      </c>
      <c r="G570" t="s">
        <v>39</v>
      </c>
      <c r="H570" t="s">
        <v>136</v>
      </c>
      <c r="I570" t="s">
        <v>137</v>
      </c>
      <c r="J570" t="s">
        <v>88</v>
      </c>
      <c r="K570" t="s">
        <v>289</v>
      </c>
      <c r="L570" t="s">
        <v>1816</v>
      </c>
      <c r="M570" t="s">
        <v>58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46</v>
      </c>
      <c r="U570" t="s">
        <v>47</v>
      </c>
      <c r="V570" t="str">
        <f t="shared" si="79"/>
        <v>Valid</v>
      </c>
      <c r="W570">
        <f t="shared" si="80"/>
        <v>3</v>
      </c>
      <c r="Y570" t="str">
        <f t="shared" si="81"/>
        <v>OK</v>
      </c>
      <c r="Z570" t="str">
        <f t="shared" si="82"/>
        <v>OK</v>
      </c>
      <c r="AA570" t="str">
        <f t="shared" si="83"/>
        <v>OK</v>
      </c>
      <c r="AB570" t="str">
        <f t="shared" si="84"/>
        <v>Valid</v>
      </c>
      <c r="AC570" t="str">
        <f>IF(OR(AB570="Invalid Discount",V570="Invalid Shipping"),
"Invalid",
IF(OR(Y570="Missing Region",
Z570="Missing Ship Mode",
AA570="Missing Discount",
X570="Flagged for Review"),
"Warning",
"Clean"))</f>
        <v>Clean</v>
      </c>
      <c r="AD570">
        <f t="shared" si="85"/>
        <v>0.25</v>
      </c>
      <c r="AE570">
        <f>N570*O570*(1-AD570)</f>
        <v>2854.7250000000004</v>
      </c>
      <c r="AF570">
        <f>AE570-R570</f>
        <v>886.60500000000047</v>
      </c>
      <c r="AG570" s="3">
        <f t="shared" si="86"/>
        <v>0.31057457373302172</v>
      </c>
      <c r="AH570" t="str">
        <f t="shared" si="87"/>
        <v>January</v>
      </c>
      <c r="AI570">
        <f t="shared" si="88"/>
        <v>2024</v>
      </c>
    </row>
    <row r="571" spans="1:35">
      <c r="A571" t="s">
        <v>1817</v>
      </c>
      <c r="B571" s="2">
        <v>45908</v>
      </c>
      <c r="C571" s="2">
        <v>45910</v>
      </c>
      <c r="D571" t="s">
        <v>1818</v>
      </c>
      <c r="E571" t="s">
        <v>132</v>
      </c>
      <c r="F571" t="s">
        <v>109</v>
      </c>
      <c r="G571" t="s">
        <v>77</v>
      </c>
      <c r="H571" t="s">
        <v>78</v>
      </c>
      <c r="I571" t="s">
        <v>79</v>
      </c>
      <c r="J571" t="s">
        <v>55</v>
      </c>
      <c r="K571" t="s">
        <v>71</v>
      </c>
      <c r="L571" t="s">
        <v>1819</v>
      </c>
      <c r="M571" t="s">
        <v>73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116</v>
      </c>
      <c r="U571" t="s">
        <v>117</v>
      </c>
      <c r="V571" t="str">
        <f t="shared" si="79"/>
        <v>Valid</v>
      </c>
      <c r="W571">
        <f t="shared" si="80"/>
        <v>2</v>
      </c>
      <c r="Y571" t="str">
        <f t="shared" si="81"/>
        <v>OK</v>
      </c>
      <c r="Z571" t="str">
        <f t="shared" si="82"/>
        <v>OK</v>
      </c>
      <c r="AA571" t="str">
        <f t="shared" si="83"/>
        <v>OK</v>
      </c>
      <c r="AB571" t="str">
        <f t="shared" si="84"/>
        <v>Valid</v>
      </c>
      <c r="AC571" t="str">
        <f>IF(OR(AB571="Invalid Discount",V571="Invalid Shipping"),
"Invalid",
IF(OR(Y571="Missing Region",
Z571="Missing Ship Mode",
AA571="Missing Discount",
X571="Flagged for Review"),
"Warning",
"Clean"))</f>
        <v>Clean</v>
      </c>
      <c r="AD571">
        <f t="shared" si="85"/>
        <v>0.25</v>
      </c>
      <c r="AE571">
        <f>N571*O571*(1-AD571)</f>
        <v>14630.264999999999</v>
      </c>
      <c r="AF571">
        <f>AE571-R571</f>
        <v>2723.9049999999988</v>
      </c>
      <c r="AG571" s="3">
        <f t="shared" si="86"/>
        <v>0.18618288868998606</v>
      </c>
      <c r="AH571" t="str">
        <f t="shared" si="87"/>
        <v>September</v>
      </c>
      <c r="AI571">
        <f t="shared" si="88"/>
        <v>2025</v>
      </c>
    </row>
    <row r="572" spans="1:35">
      <c r="A572" t="s">
        <v>1820</v>
      </c>
      <c r="B572" s="2">
        <v>45887</v>
      </c>
      <c r="C572" s="2">
        <v>45891</v>
      </c>
      <c r="D572" t="s">
        <v>1821</v>
      </c>
      <c r="E572" t="s">
        <v>67</v>
      </c>
      <c r="F572" t="s">
        <v>38</v>
      </c>
      <c r="G572" t="s">
        <v>52</v>
      </c>
      <c r="H572" t="s">
        <v>243</v>
      </c>
      <c r="I572" t="s">
        <v>244</v>
      </c>
      <c r="J572" t="s">
        <v>55</v>
      </c>
      <c r="K572" t="s">
        <v>71</v>
      </c>
      <c r="L572" t="s">
        <v>1822</v>
      </c>
      <c r="M572" t="s">
        <v>45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169</v>
      </c>
      <c r="U572" t="s">
        <v>117</v>
      </c>
      <c r="V572" t="str">
        <f t="shared" si="79"/>
        <v>Valid</v>
      </c>
      <c r="W572">
        <f t="shared" si="80"/>
        <v>4</v>
      </c>
      <c r="Y572" t="str">
        <f t="shared" si="81"/>
        <v>OK</v>
      </c>
      <c r="Z572" t="str">
        <f t="shared" si="82"/>
        <v>OK</v>
      </c>
      <c r="AA572" t="str">
        <f t="shared" si="83"/>
        <v>OK</v>
      </c>
      <c r="AB572" t="str">
        <f t="shared" si="84"/>
        <v>Valid</v>
      </c>
      <c r="AC572" t="str">
        <f>IF(OR(AB572="Invalid Discount",V572="Invalid Shipping"),
"Invalid",
IF(OR(Y572="Missing Region",
Z572="Missing Ship Mode",
AA572="Missing Discount",
X572="Flagged for Review"),
"Warning",
"Clean"))</f>
        <v>Clean</v>
      </c>
      <c r="AD572">
        <f t="shared" si="85"/>
        <v>0.25</v>
      </c>
      <c r="AE572">
        <f>N572*O572*(1-AD572)</f>
        <v>8879.49</v>
      </c>
      <c r="AF572">
        <f>AE572-R572</f>
        <v>2534.92</v>
      </c>
      <c r="AG572" s="3">
        <f t="shared" si="86"/>
        <v>0.28548035979543873</v>
      </c>
      <c r="AH572" t="str">
        <f t="shared" si="87"/>
        <v>August</v>
      </c>
      <c r="AI572">
        <f t="shared" si="88"/>
        <v>2025</v>
      </c>
    </row>
    <row r="573" spans="1:35">
      <c r="A573" t="s">
        <v>1823</v>
      </c>
      <c r="B573" s="2">
        <v>45698</v>
      </c>
      <c r="C573" s="2">
        <v>45702</v>
      </c>
      <c r="D573" t="s">
        <v>1824</v>
      </c>
      <c r="E573" t="s">
        <v>128</v>
      </c>
      <c r="F573" t="s">
        <v>51</v>
      </c>
      <c r="G573" t="s">
        <v>39</v>
      </c>
      <c r="H573" t="s">
        <v>150</v>
      </c>
      <c r="I573" t="s">
        <v>151</v>
      </c>
      <c r="J573" t="s">
        <v>88</v>
      </c>
      <c r="K573" t="s">
        <v>185</v>
      </c>
      <c r="L573" t="s">
        <v>1825</v>
      </c>
      <c r="M573" t="s">
        <v>219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169</v>
      </c>
      <c r="U573" t="s">
        <v>117</v>
      </c>
      <c r="V573" t="str">
        <f t="shared" si="79"/>
        <v>Valid</v>
      </c>
      <c r="W573">
        <f t="shared" si="80"/>
        <v>4</v>
      </c>
      <c r="X573" t="s">
        <v>398</v>
      </c>
      <c r="Y573" t="str">
        <f t="shared" si="81"/>
        <v>OK</v>
      </c>
      <c r="Z573" t="str">
        <f t="shared" si="82"/>
        <v>Missing Ship Mode</v>
      </c>
      <c r="AA573" t="str">
        <f t="shared" si="83"/>
        <v>OK</v>
      </c>
      <c r="AB573" t="str">
        <f t="shared" si="84"/>
        <v>Valid</v>
      </c>
      <c r="AC573" t="str">
        <f>IF(OR(AB573="Invalid Discount",V573="Invalid Shipping"),
"Invalid",
IF(OR(Y573="Missing Region",
Z573="Missing Ship Mode",
AA573="Missing Discount",
X573="Flagged for Review"),
"Warning",
"Clean"))</f>
        <v>Warning</v>
      </c>
      <c r="AD573">
        <f t="shared" si="85"/>
        <v>0</v>
      </c>
      <c r="AE573">
        <f>N573*O573*(1-AD573)</f>
        <v>21381.45</v>
      </c>
      <c r="AF573">
        <f>AE573-R573</f>
        <v>8141.2400000000016</v>
      </c>
      <c r="AG573" s="3">
        <f t="shared" si="86"/>
        <v>0.38076182859441249</v>
      </c>
      <c r="AH573" t="str">
        <f t="shared" si="87"/>
        <v>February</v>
      </c>
      <c r="AI573">
        <f t="shared" si="88"/>
        <v>2025</v>
      </c>
    </row>
    <row r="574" spans="1:35">
      <c r="A574" t="s">
        <v>1826</v>
      </c>
      <c r="B574" s="2">
        <v>45293</v>
      </c>
      <c r="C574" s="2">
        <v>45300</v>
      </c>
      <c r="D574" t="s">
        <v>1827</v>
      </c>
      <c r="E574" t="s">
        <v>176</v>
      </c>
      <c r="F574" t="s">
        <v>104</v>
      </c>
      <c r="G574" t="s">
        <v>39</v>
      </c>
      <c r="H574" t="s">
        <v>365</v>
      </c>
      <c r="I574" t="s">
        <v>366</v>
      </c>
      <c r="J574" t="s">
        <v>88</v>
      </c>
      <c r="K574" t="s">
        <v>185</v>
      </c>
      <c r="L574" t="s">
        <v>1828</v>
      </c>
      <c r="M574" t="s">
        <v>73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46</v>
      </c>
      <c r="U574" t="s">
        <v>47</v>
      </c>
      <c r="V574" t="str">
        <f t="shared" si="79"/>
        <v>Valid</v>
      </c>
      <c r="W574">
        <f t="shared" si="80"/>
        <v>7</v>
      </c>
      <c r="Y574" t="str">
        <f t="shared" si="81"/>
        <v>OK</v>
      </c>
      <c r="Z574" t="str">
        <f t="shared" si="82"/>
        <v>OK</v>
      </c>
      <c r="AA574" t="str">
        <f t="shared" si="83"/>
        <v>OK</v>
      </c>
      <c r="AB574" t="str">
        <f t="shared" si="84"/>
        <v>Valid</v>
      </c>
      <c r="AC574" t="str">
        <f>IF(OR(AB574="Invalid Discount",V574="Invalid Shipping"),
"Invalid",
IF(OR(Y574="Missing Region",
Z574="Missing Ship Mode",
AA574="Missing Discount",
X574="Flagged for Review"),
"Warning",
"Clean"))</f>
        <v>Clean</v>
      </c>
      <c r="AD574">
        <f t="shared" si="85"/>
        <v>0.2</v>
      </c>
      <c r="AE574">
        <f>N574*O574*(1-AD574)</f>
        <v>1774.944</v>
      </c>
      <c r="AF574">
        <f>AE574-R574</f>
        <v>767.54399999999998</v>
      </c>
      <c r="AG574" s="3">
        <f t="shared" si="86"/>
        <v>0.43243279787982042</v>
      </c>
      <c r="AH574" t="str">
        <f t="shared" si="87"/>
        <v>January</v>
      </c>
      <c r="AI574">
        <f t="shared" si="88"/>
        <v>2024</v>
      </c>
    </row>
    <row r="575" spans="1:35">
      <c r="A575" t="s">
        <v>1829</v>
      </c>
      <c r="B575" s="2">
        <v>45922</v>
      </c>
      <c r="C575" s="2">
        <v>45926</v>
      </c>
      <c r="D575" t="s">
        <v>1830</v>
      </c>
      <c r="E575" t="s">
        <v>61</v>
      </c>
      <c r="F575" t="s">
        <v>38</v>
      </c>
      <c r="G575" t="s">
        <v>68</v>
      </c>
      <c r="H575" t="s">
        <v>98</v>
      </c>
      <c r="I575" t="s">
        <v>99</v>
      </c>
      <c r="J575" t="s">
        <v>88</v>
      </c>
      <c r="K575" t="s">
        <v>185</v>
      </c>
      <c r="L575" t="s">
        <v>1831</v>
      </c>
      <c r="M575" t="s">
        <v>73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46</v>
      </c>
      <c r="U575" t="s">
        <v>47</v>
      </c>
      <c r="V575" t="str">
        <f t="shared" si="79"/>
        <v>Valid</v>
      </c>
      <c r="W575">
        <f t="shared" si="80"/>
        <v>4</v>
      </c>
      <c r="Y575" t="str">
        <f t="shared" si="81"/>
        <v>OK</v>
      </c>
      <c r="Z575" t="str">
        <f t="shared" si="82"/>
        <v>OK</v>
      </c>
      <c r="AA575" t="str">
        <f t="shared" si="83"/>
        <v>OK</v>
      </c>
      <c r="AB575" t="str">
        <f t="shared" si="84"/>
        <v>Valid</v>
      </c>
      <c r="AC575" t="str">
        <f>IF(OR(AB575="Invalid Discount",V575="Invalid Shipping"),
"Invalid",
IF(OR(Y575="Missing Region",
Z575="Missing Ship Mode",
AA575="Missing Discount",
X575="Flagged for Review"),
"Warning",
"Clean"))</f>
        <v>Clean</v>
      </c>
      <c r="AD575">
        <f t="shared" si="85"/>
        <v>0</v>
      </c>
      <c r="AE575">
        <f>N575*O575*(1-AD575)</f>
        <v>573.65</v>
      </c>
      <c r="AF575">
        <f>AE575-R575</f>
        <v>250.97999999999996</v>
      </c>
      <c r="AG575" s="3">
        <f t="shared" si="86"/>
        <v>0.43751416368866031</v>
      </c>
      <c r="AH575" t="str">
        <f t="shared" si="87"/>
        <v>September</v>
      </c>
      <c r="AI575">
        <f t="shared" si="88"/>
        <v>2025</v>
      </c>
    </row>
    <row r="576" spans="1:35">
      <c r="A576" t="s">
        <v>1832</v>
      </c>
      <c r="B576" s="2">
        <v>45342</v>
      </c>
      <c r="C576" s="2">
        <v>45347</v>
      </c>
      <c r="D576" t="s">
        <v>816</v>
      </c>
      <c r="E576" t="s">
        <v>176</v>
      </c>
      <c r="F576" t="s">
        <v>109</v>
      </c>
      <c r="G576" t="s">
        <v>39</v>
      </c>
      <c r="H576" t="s">
        <v>136</v>
      </c>
      <c r="I576" t="s">
        <v>137</v>
      </c>
      <c r="J576" t="s">
        <v>88</v>
      </c>
      <c r="K576" t="s">
        <v>289</v>
      </c>
      <c r="L576" t="s">
        <v>1833</v>
      </c>
      <c r="M576" t="s">
        <v>73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46</v>
      </c>
      <c r="U576" t="s">
        <v>47</v>
      </c>
      <c r="V576" t="str">
        <f t="shared" si="79"/>
        <v>Valid</v>
      </c>
      <c r="W576">
        <f t="shared" si="80"/>
        <v>5</v>
      </c>
      <c r="Y576" t="str">
        <f t="shared" si="81"/>
        <v>OK</v>
      </c>
      <c r="Z576" t="str">
        <f t="shared" si="82"/>
        <v>OK</v>
      </c>
      <c r="AA576" t="str">
        <f t="shared" si="83"/>
        <v>OK</v>
      </c>
      <c r="AB576" t="str">
        <f t="shared" si="84"/>
        <v>Valid</v>
      </c>
      <c r="AC576" t="str">
        <f>IF(OR(AB576="Invalid Discount",V576="Invalid Shipping"),
"Invalid",
IF(OR(Y576="Missing Region",
Z576="Missing Ship Mode",
AA576="Missing Discount",
X576="Flagged for Review"),
"Warning",
"Clean"))</f>
        <v>Clean</v>
      </c>
      <c r="AD576">
        <f t="shared" si="85"/>
        <v>0</v>
      </c>
      <c r="AE576">
        <f>N576*O576*(1-AD576)</f>
        <v>5423.2</v>
      </c>
      <c r="AF576">
        <f>AE576-R576</f>
        <v>1350.7599999999998</v>
      </c>
      <c r="AG576" s="3">
        <f t="shared" si="86"/>
        <v>0.24907065938929043</v>
      </c>
      <c r="AH576" t="str">
        <f t="shared" si="87"/>
        <v>February</v>
      </c>
      <c r="AI576">
        <f t="shared" si="88"/>
        <v>2024</v>
      </c>
    </row>
    <row r="577" spans="1:35">
      <c r="A577" t="s">
        <v>1834</v>
      </c>
      <c r="B577" s="2">
        <v>45727</v>
      </c>
      <c r="C577" s="2">
        <v>45730</v>
      </c>
      <c r="D577" t="s">
        <v>1835</v>
      </c>
      <c r="E577" t="s">
        <v>146</v>
      </c>
      <c r="F577" t="s">
        <v>109</v>
      </c>
      <c r="G577" t="s">
        <v>68</v>
      </c>
      <c r="H577" t="s">
        <v>199</v>
      </c>
      <c r="I577" t="s">
        <v>200</v>
      </c>
      <c r="J577" t="s">
        <v>55</v>
      </c>
      <c r="K577" t="s">
        <v>71</v>
      </c>
      <c r="L577" t="s">
        <v>1836</v>
      </c>
      <c r="M577" t="s">
        <v>58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169</v>
      </c>
      <c r="U577" t="s">
        <v>117</v>
      </c>
      <c r="V577" t="str">
        <f t="shared" si="79"/>
        <v>Valid</v>
      </c>
      <c r="W577">
        <f t="shared" si="80"/>
        <v>3</v>
      </c>
      <c r="Y577" t="str">
        <f t="shared" si="81"/>
        <v>OK</v>
      </c>
      <c r="Z577" t="str">
        <f t="shared" si="82"/>
        <v>OK</v>
      </c>
      <c r="AA577" t="str">
        <f t="shared" si="83"/>
        <v>OK</v>
      </c>
      <c r="AB577" t="str">
        <f t="shared" si="84"/>
        <v>Valid</v>
      </c>
      <c r="AC577" t="str">
        <f>IF(OR(AB577="Invalid Discount",V577="Invalid Shipping"),
"Invalid",
IF(OR(Y577="Missing Region",
Z577="Missing Ship Mode",
AA577="Missing Discount",
X577="Flagged for Review"),
"Warning",
"Clean"))</f>
        <v>Clean</v>
      </c>
      <c r="AD577">
        <f t="shared" si="85"/>
        <v>0.2</v>
      </c>
      <c r="AE577">
        <f>N577*O577*(1-AD577)</f>
        <v>3983.424</v>
      </c>
      <c r="AF577">
        <f>AE577-R577</f>
        <v>808.51400000000012</v>
      </c>
      <c r="AG577" s="3">
        <f t="shared" si="86"/>
        <v>0.2029696060474607</v>
      </c>
      <c r="AH577" t="str">
        <f t="shared" si="87"/>
        <v>March</v>
      </c>
      <c r="AI577">
        <f t="shared" si="88"/>
        <v>2025</v>
      </c>
    </row>
    <row r="578" spans="1:35">
      <c r="A578" t="s">
        <v>1837</v>
      </c>
      <c r="B578" s="2">
        <v>45339</v>
      </c>
      <c r="C578" s="2">
        <v>45345</v>
      </c>
      <c r="D578" t="s">
        <v>1838</v>
      </c>
      <c r="E578" t="s">
        <v>155</v>
      </c>
      <c r="F578" t="s">
        <v>109</v>
      </c>
      <c r="G578" t="s">
        <v>219</v>
      </c>
      <c r="H578" t="s">
        <v>159</v>
      </c>
      <c r="I578" t="s">
        <v>160</v>
      </c>
      <c r="J578" t="s">
        <v>42</v>
      </c>
      <c r="K578" t="s">
        <v>167</v>
      </c>
      <c r="L578" t="s">
        <v>1839</v>
      </c>
      <c r="M578" t="s">
        <v>73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116</v>
      </c>
      <c r="U578" t="s">
        <v>117</v>
      </c>
      <c r="V578" t="str">
        <f t="shared" si="79"/>
        <v>Valid</v>
      </c>
      <c r="W578">
        <f t="shared" si="80"/>
        <v>6</v>
      </c>
      <c r="Y578" t="str">
        <f t="shared" si="81"/>
        <v>Missing Region</v>
      </c>
      <c r="Z578" t="str">
        <f t="shared" si="82"/>
        <v>OK</v>
      </c>
      <c r="AA578" t="str">
        <f t="shared" si="83"/>
        <v>OK</v>
      </c>
      <c r="AB578" t="str">
        <f t="shared" si="84"/>
        <v>Valid</v>
      </c>
      <c r="AC578" t="str">
        <f>IF(OR(AB578="Invalid Discount",V578="Invalid Shipping"),
"Invalid",
IF(OR(Y578="Missing Region",
Z578="Missing Ship Mode",
AA578="Missing Discount",
X578="Flagged for Review"),
"Warning",
"Clean"))</f>
        <v>Warning</v>
      </c>
      <c r="AD578">
        <f t="shared" si="85"/>
        <v>0</v>
      </c>
      <c r="AE578">
        <f>N578*O578*(1-AD578)</f>
        <v>23530.14</v>
      </c>
      <c r="AF578">
        <f>AE578-R578</f>
        <v>3992.3499999999985</v>
      </c>
      <c r="AG578" s="3">
        <f t="shared" si="86"/>
        <v>0.16966962372514566</v>
      </c>
      <c r="AH578" t="str">
        <f t="shared" si="87"/>
        <v>February</v>
      </c>
      <c r="AI578">
        <f t="shared" si="88"/>
        <v>2024</v>
      </c>
    </row>
    <row r="579" spans="1:35">
      <c r="A579" t="s">
        <v>1840</v>
      </c>
      <c r="B579" s="2">
        <v>45897</v>
      </c>
      <c r="C579" s="2">
        <v>45903</v>
      </c>
      <c r="D579" t="s">
        <v>1841</v>
      </c>
      <c r="E579" t="s">
        <v>128</v>
      </c>
      <c r="F579" t="s">
        <v>104</v>
      </c>
      <c r="G579" t="s">
        <v>77</v>
      </c>
      <c r="H579" t="s">
        <v>86</v>
      </c>
      <c r="I579" t="s">
        <v>87</v>
      </c>
      <c r="J579" t="s">
        <v>55</v>
      </c>
      <c r="K579" t="s">
        <v>71</v>
      </c>
      <c r="L579" t="s">
        <v>1842</v>
      </c>
      <c r="M579" t="s">
        <v>73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46</v>
      </c>
      <c r="U579" t="s">
        <v>47</v>
      </c>
      <c r="V579" t="str">
        <f t="shared" ref="V579:V642" si="89">IF(C579&lt;B579,"Invalid Shipping","Valid")</f>
        <v>Valid</v>
      </c>
      <c r="W579">
        <f t="shared" ref="W579:W642" si="90">C579-B579</f>
        <v>6</v>
      </c>
      <c r="Y579" t="str">
        <f t="shared" ref="Y579:Y642" si="91">IF(G579="Unknown","Missing Region","OK")</f>
        <v>OK</v>
      </c>
      <c r="Z579" t="str">
        <f t="shared" ref="Z579:Z642" si="92">IF(M579="Unknown","Missing Ship Mode","OK")</f>
        <v>OK</v>
      </c>
      <c r="AA579" t="str">
        <f t="shared" ref="AA579:AA642" si="93">IF(P579="","Missing Discount","OK")</f>
        <v>OK</v>
      </c>
      <c r="AB579" t="str">
        <f t="shared" ref="AB579:AB642" si="94">IF(OR(P579&lt;0,P579&gt;1),"Invalid Discount","Valid")</f>
        <v>Valid</v>
      </c>
      <c r="AC579" t="str">
        <f>IF(OR(AB579="Invalid Discount",V579="Invalid Shipping"),
"Invalid",
IF(OR(Y579="Missing Region",
Z579="Missing Ship Mode",
AA579="Missing Discount",
X579="Flagged for Review"),
"Warning",
"Clean"))</f>
        <v>Clean</v>
      </c>
      <c r="AD579">
        <f t="shared" ref="AD579:AD642" si="95">IF(P579="",0,P579)</f>
        <v>0</v>
      </c>
      <c r="AE579">
        <f>N579*O579*(1-AD579)</f>
        <v>1879.1499999999999</v>
      </c>
      <c r="AF579">
        <f>AE579-R579</f>
        <v>744.24999999999977</v>
      </c>
      <c r="AG579" s="3">
        <f t="shared" ref="AG579:AG642" si="96">IF(AE579=0,0,AF579/AE579)</f>
        <v>0.39605672777585599</v>
      </c>
      <c r="AH579" t="str">
        <f t="shared" ref="AH579:AH642" si="97">TEXT(B579,"mmmm")</f>
        <v>August</v>
      </c>
      <c r="AI579">
        <f t="shared" ref="AI579:AI642" si="98">YEAR(B579)</f>
        <v>2025</v>
      </c>
    </row>
    <row r="580" spans="1:35">
      <c r="A580" t="s">
        <v>1843</v>
      </c>
      <c r="B580" s="2">
        <v>45343</v>
      </c>
      <c r="C580" s="2">
        <v>45345</v>
      </c>
      <c r="D580" t="s">
        <v>310</v>
      </c>
      <c r="E580" t="s">
        <v>93</v>
      </c>
      <c r="F580" t="s">
        <v>51</v>
      </c>
      <c r="G580" t="s">
        <v>77</v>
      </c>
      <c r="H580" t="s">
        <v>194</v>
      </c>
      <c r="I580" t="s">
        <v>195</v>
      </c>
      <c r="J580" t="s">
        <v>88</v>
      </c>
      <c r="K580" t="s">
        <v>94</v>
      </c>
      <c r="L580" t="s">
        <v>1844</v>
      </c>
      <c r="M580" t="s">
        <v>64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46</v>
      </c>
      <c r="U580" t="s">
        <v>47</v>
      </c>
      <c r="V580" t="str">
        <f t="shared" si="89"/>
        <v>Valid</v>
      </c>
      <c r="W580">
        <f t="shared" si="90"/>
        <v>2</v>
      </c>
      <c r="Y580" t="str">
        <f t="shared" si="91"/>
        <v>OK</v>
      </c>
      <c r="Z580" t="str">
        <f t="shared" si="92"/>
        <v>OK</v>
      </c>
      <c r="AA580" t="str">
        <f t="shared" si="93"/>
        <v>OK</v>
      </c>
      <c r="AB580" t="str">
        <f t="shared" si="94"/>
        <v>Valid</v>
      </c>
      <c r="AC580" t="str">
        <f>IF(OR(AB580="Invalid Discount",V580="Invalid Shipping"),
"Invalid",
IF(OR(Y580="Missing Region",
Z580="Missing Ship Mode",
AA580="Missing Discount",
X580="Flagged for Review"),
"Warning",
"Clean"))</f>
        <v>Clean</v>
      </c>
      <c r="AD580">
        <f t="shared" si="95"/>
        <v>0.05</v>
      </c>
      <c r="AE580">
        <f>N580*O580*(1-AD580)</f>
        <v>15011.805</v>
      </c>
      <c r="AF580">
        <f>AE580-R580</f>
        <v>5351.4449999999997</v>
      </c>
      <c r="AG580" s="3">
        <f t="shared" si="96"/>
        <v>0.35648244831317749</v>
      </c>
      <c r="AH580" t="str">
        <f t="shared" si="97"/>
        <v>February</v>
      </c>
      <c r="AI580">
        <f t="shared" si="98"/>
        <v>2024</v>
      </c>
    </row>
    <row r="581" spans="1:35">
      <c r="A581" t="s">
        <v>1845</v>
      </c>
      <c r="B581" s="2">
        <v>45462</v>
      </c>
      <c r="C581" s="2">
        <v>45467</v>
      </c>
      <c r="D581" t="s">
        <v>1846</v>
      </c>
      <c r="E581" t="s">
        <v>142</v>
      </c>
      <c r="F581" t="s">
        <v>51</v>
      </c>
      <c r="G581" t="s">
        <v>68</v>
      </c>
      <c r="H581" t="s">
        <v>262</v>
      </c>
      <c r="I581" t="s">
        <v>263</v>
      </c>
      <c r="J581" t="s">
        <v>42</v>
      </c>
      <c r="K581" t="s">
        <v>138</v>
      </c>
      <c r="L581" t="s">
        <v>1847</v>
      </c>
      <c r="M581" t="s">
        <v>58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46</v>
      </c>
      <c r="U581" t="s">
        <v>47</v>
      </c>
      <c r="V581" t="str">
        <f t="shared" si="89"/>
        <v>Valid</v>
      </c>
      <c r="W581">
        <f t="shared" si="90"/>
        <v>5</v>
      </c>
      <c r="Y581" t="str">
        <f t="shared" si="91"/>
        <v>OK</v>
      </c>
      <c r="Z581" t="str">
        <f t="shared" si="92"/>
        <v>OK</v>
      </c>
      <c r="AA581" t="str">
        <f t="shared" si="93"/>
        <v>OK</v>
      </c>
      <c r="AB581" t="str">
        <f t="shared" si="94"/>
        <v>Valid</v>
      </c>
      <c r="AC581" t="str">
        <f>IF(OR(AB581="Invalid Discount",V581="Invalid Shipping"),
"Invalid",
IF(OR(Y581="Missing Region",
Z581="Missing Ship Mode",
AA581="Missing Discount",
X581="Flagged for Review"),
"Warning",
"Clean"))</f>
        <v>Clean</v>
      </c>
      <c r="AD581">
        <f t="shared" si="95"/>
        <v>0</v>
      </c>
      <c r="AE581">
        <f>N581*O581*(1-AD581)</f>
        <v>3202.41</v>
      </c>
      <c r="AF581">
        <f>AE581-R581</f>
        <v>593.9699999999998</v>
      </c>
      <c r="AG581" s="3">
        <f t="shared" si="96"/>
        <v>0.18547593843386695</v>
      </c>
      <c r="AH581" t="str">
        <f t="shared" si="97"/>
        <v>June</v>
      </c>
      <c r="AI581">
        <f t="shared" si="98"/>
        <v>2024</v>
      </c>
    </row>
    <row r="582" spans="1:35">
      <c r="A582" t="s">
        <v>1848</v>
      </c>
      <c r="B582" s="2">
        <v>45722</v>
      </c>
      <c r="C582" s="2">
        <v>45729</v>
      </c>
      <c r="D582" t="s">
        <v>1849</v>
      </c>
      <c r="E582" t="s">
        <v>279</v>
      </c>
      <c r="F582" t="s">
        <v>38</v>
      </c>
      <c r="G582" t="s">
        <v>68</v>
      </c>
      <c r="H582" t="s">
        <v>199</v>
      </c>
      <c r="I582" t="s">
        <v>200</v>
      </c>
      <c r="J582" t="s">
        <v>55</v>
      </c>
      <c r="K582" t="s">
        <v>80</v>
      </c>
      <c r="L582" t="s">
        <v>1850</v>
      </c>
      <c r="M582" t="s">
        <v>73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169</v>
      </c>
      <c r="U582" t="s">
        <v>117</v>
      </c>
      <c r="V582" t="str">
        <f t="shared" si="89"/>
        <v>Valid</v>
      </c>
      <c r="W582">
        <f t="shared" si="90"/>
        <v>7</v>
      </c>
      <c r="Y582" t="str">
        <f t="shared" si="91"/>
        <v>OK</v>
      </c>
      <c r="Z582" t="str">
        <f t="shared" si="92"/>
        <v>OK</v>
      </c>
      <c r="AA582" t="str">
        <f t="shared" si="93"/>
        <v>OK</v>
      </c>
      <c r="AB582" t="str">
        <f t="shared" si="94"/>
        <v>Valid</v>
      </c>
      <c r="AC582" t="str">
        <f>IF(OR(AB582="Invalid Discount",V582="Invalid Shipping"),
"Invalid",
IF(OR(Y582="Missing Region",
Z582="Missing Ship Mode",
AA582="Missing Discount",
X582="Flagged for Review"),
"Warning",
"Clean"))</f>
        <v>Clean</v>
      </c>
      <c r="AD582">
        <f t="shared" si="95"/>
        <v>0.15</v>
      </c>
      <c r="AE582">
        <f>N582*O582*(1-AD582)</f>
        <v>417.48599999999999</v>
      </c>
      <c r="AF582">
        <f>AE582-R582</f>
        <v>155.81599999999997</v>
      </c>
      <c r="AG582" s="3">
        <f t="shared" si="96"/>
        <v>0.37322449136018926</v>
      </c>
      <c r="AH582" t="str">
        <f t="shared" si="97"/>
        <v>March</v>
      </c>
      <c r="AI582">
        <f t="shared" si="98"/>
        <v>2025</v>
      </c>
    </row>
    <row r="583" spans="1:35">
      <c r="A583" t="s">
        <v>1851</v>
      </c>
      <c r="B583" s="2">
        <v>45878</v>
      </c>
      <c r="C583" s="2">
        <v>45879</v>
      </c>
      <c r="D583" t="s">
        <v>1852</v>
      </c>
      <c r="E583" t="s">
        <v>93</v>
      </c>
      <c r="F583" t="s">
        <v>38</v>
      </c>
      <c r="G583" t="s">
        <v>39</v>
      </c>
      <c r="H583" t="s">
        <v>365</v>
      </c>
      <c r="I583" t="s">
        <v>366</v>
      </c>
      <c r="J583" t="s">
        <v>42</v>
      </c>
      <c r="K583" t="s">
        <v>62</v>
      </c>
      <c r="L583" t="s">
        <v>1853</v>
      </c>
      <c r="M583" t="s">
        <v>45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116</v>
      </c>
      <c r="U583" t="s">
        <v>117</v>
      </c>
      <c r="V583" t="str">
        <f t="shared" si="89"/>
        <v>Valid</v>
      </c>
      <c r="W583">
        <f t="shared" si="90"/>
        <v>1</v>
      </c>
      <c r="Y583" t="str">
        <f t="shared" si="91"/>
        <v>OK</v>
      </c>
      <c r="Z583" t="str">
        <f t="shared" si="92"/>
        <v>OK</v>
      </c>
      <c r="AA583" t="str">
        <f t="shared" si="93"/>
        <v>OK</v>
      </c>
      <c r="AB583" t="str">
        <f t="shared" si="94"/>
        <v>Valid</v>
      </c>
      <c r="AC583" t="str">
        <f>IF(OR(AB583="Invalid Discount",V583="Invalid Shipping"),
"Invalid",
IF(OR(Y583="Missing Region",
Z583="Missing Ship Mode",
AA583="Missing Discount",
X583="Flagged for Review"),
"Warning",
"Clean"))</f>
        <v>Clean</v>
      </c>
      <c r="AD583">
        <f t="shared" si="95"/>
        <v>0</v>
      </c>
      <c r="AE583">
        <f>N583*O583*(1-AD583)</f>
        <v>16323.8</v>
      </c>
      <c r="AF583">
        <f>AE583-R583</f>
        <v>6358.0099999999984</v>
      </c>
      <c r="AG583" s="3">
        <f t="shared" si="96"/>
        <v>0.38949325524693995</v>
      </c>
      <c r="AH583" t="str">
        <f t="shared" si="97"/>
        <v>August</v>
      </c>
      <c r="AI583">
        <f t="shared" si="98"/>
        <v>2025</v>
      </c>
    </row>
    <row r="584" spans="1:35">
      <c r="A584" t="s">
        <v>1854</v>
      </c>
      <c r="B584" s="2">
        <v>45580</v>
      </c>
      <c r="C584" s="2">
        <v>45585</v>
      </c>
      <c r="D584" t="s">
        <v>1855</v>
      </c>
      <c r="E584" t="s">
        <v>76</v>
      </c>
      <c r="F584" t="s">
        <v>38</v>
      </c>
      <c r="G584" t="s">
        <v>52</v>
      </c>
      <c r="H584" t="s">
        <v>53</v>
      </c>
      <c r="I584" t="s">
        <v>54</v>
      </c>
      <c r="J584" t="s">
        <v>42</v>
      </c>
      <c r="K584" t="s">
        <v>62</v>
      </c>
      <c r="L584" t="s">
        <v>1856</v>
      </c>
      <c r="M584" t="s">
        <v>64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125</v>
      </c>
      <c r="U584" t="s">
        <v>117</v>
      </c>
      <c r="V584" t="str">
        <f t="shared" si="89"/>
        <v>Valid</v>
      </c>
      <c r="W584">
        <f t="shared" si="90"/>
        <v>5</v>
      </c>
      <c r="Y584" t="str">
        <f t="shared" si="91"/>
        <v>OK</v>
      </c>
      <c r="Z584" t="str">
        <f t="shared" si="92"/>
        <v>OK</v>
      </c>
      <c r="AA584" t="str">
        <f t="shared" si="93"/>
        <v>OK</v>
      </c>
      <c r="AB584" t="str">
        <f t="shared" si="94"/>
        <v>Valid</v>
      </c>
      <c r="AC584" t="str">
        <f>IF(OR(AB584="Invalid Discount",V584="Invalid Shipping"),
"Invalid",
IF(OR(Y584="Missing Region",
Z584="Missing Ship Mode",
AA584="Missing Discount",
X584="Flagged for Review"),
"Warning",
"Clean"))</f>
        <v>Clean</v>
      </c>
      <c r="AD584">
        <f t="shared" si="95"/>
        <v>0</v>
      </c>
      <c r="AE584">
        <f>N584*O584*(1-AD584)</f>
        <v>3356.2</v>
      </c>
      <c r="AF584">
        <f>AE584-R584</f>
        <v>1150.48</v>
      </c>
      <c r="AG584" s="3">
        <f t="shared" si="96"/>
        <v>0.34279244383528995</v>
      </c>
      <c r="AH584" t="str">
        <f t="shared" si="97"/>
        <v>October</v>
      </c>
      <c r="AI584">
        <f t="shared" si="98"/>
        <v>2024</v>
      </c>
    </row>
    <row r="585" spans="1:35">
      <c r="A585" t="s">
        <v>1857</v>
      </c>
      <c r="B585" s="2">
        <v>45350</v>
      </c>
      <c r="C585" s="2">
        <v>45350</v>
      </c>
      <c r="D585" t="s">
        <v>1858</v>
      </c>
      <c r="E585" t="s">
        <v>155</v>
      </c>
      <c r="F585" t="s">
        <v>51</v>
      </c>
      <c r="G585" t="s">
        <v>52</v>
      </c>
      <c r="H585" t="s">
        <v>113</v>
      </c>
      <c r="I585" t="s">
        <v>114</v>
      </c>
      <c r="J585" t="s">
        <v>42</v>
      </c>
      <c r="K585" t="s">
        <v>138</v>
      </c>
      <c r="L585" t="s">
        <v>1859</v>
      </c>
      <c r="M585" t="s">
        <v>64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169</v>
      </c>
      <c r="U585" t="s">
        <v>117</v>
      </c>
      <c r="V585" t="str">
        <f t="shared" si="89"/>
        <v>Valid</v>
      </c>
      <c r="W585">
        <f t="shared" si="90"/>
        <v>0</v>
      </c>
      <c r="Y585" t="str">
        <f t="shared" si="91"/>
        <v>OK</v>
      </c>
      <c r="Z585" t="str">
        <f t="shared" si="92"/>
        <v>OK</v>
      </c>
      <c r="AA585" t="str">
        <f t="shared" si="93"/>
        <v>OK</v>
      </c>
      <c r="AB585" t="str">
        <f t="shared" si="94"/>
        <v>Valid</v>
      </c>
      <c r="AC585" t="str">
        <f>IF(OR(AB585="Invalid Discount",V585="Invalid Shipping"),
"Invalid",
IF(OR(Y585="Missing Region",
Z585="Missing Ship Mode",
AA585="Missing Discount",
X585="Flagged for Review"),
"Warning",
"Clean"))</f>
        <v>Clean</v>
      </c>
      <c r="AD585">
        <f t="shared" si="95"/>
        <v>0.2</v>
      </c>
      <c r="AE585">
        <f>N585*O585*(1-AD585)</f>
        <v>2101.4720000000002</v>
      </c>
      <c r="AF585">
        <f>AE585-R585</f>
        <v>883.64200000000028</v>
      </c>
      <c r="AG585" s="3">
        <f t="shared" si="96"/>
        <v>0.42048716328364127</v>
      </c>
      <c r="AH585" t="str">
        <f t="shared" si="97"/>
        <v>February</v>
      </c>
      <c r="AI585">
        <f t="shared" si="98"/>
        <v>2024</v>
      </c>
    </row>
    <row r="586" spans="1:35">
      <c r="A586" t="s">
        <v>1860</v>
      </c>
      <c r="B586" s="2">
        <v>45508</v>
      </c>
      <c r="C586" s="2">
        <v>45514</v>
      </c>
      <c r="D586" t="s">
        <v>1861</v>
      </c>
      <c r="E586" t="s">
        <v>85</v>
      </c>
      <c r="F586" t="s">
        <v>38</v>
      </c>
      <c r="G586" t="s">
        <v>52</v>
      </c>
      <c r="H586" t="s">
        <v>159</v>
      </c>
      <c r="I586" t="s">
        <v>160</v>
      </c>
      <c r="J586" t="s">
        <v>42</v>
      </c>
      <c r="K586" t="s">
        <v>62</v>
      </c>
      <c r="L586" t="s">
        <v>1862</v>
      </c>
      <c r="M586" t="s">
        <v>58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125</v>
      </c>
      <c r="U586" t="s">
        <v>117</v>
      </c>
      <c r="V586" t="str">
        <f t="shared" si="89"/>
        <v>Valid</v>
      </c>
      <c r="W586">
        <f t="shared" si="90"/>
        <v>6</v>
      </c>
      <c r="Y586" t="str">
        <f t="shared" si="91"/>
        <v>OK</v>
      </c>
      <c r="Z586" t="str">
        <f t="shared" si="92"/>
        <v>OK</v>
      </c>
      <c r="AA586" t="str">
        <f t="shared" si="93"/>
        <v>OK</v>
      </c>
      <c r="AB586" t="str">
        <f t="shared" si="94"/>
        <v>Valid</v>
      </c>
      <c r="AC586" t="str">
        <f>IF(OR(AB586="Invalid Discount",V586="Invalid Shipping"),
"Invalid",
IF(OR(Y586="Missing Region",
Z586="Missing Ship Mode",
AA586="Missing Discount",
X586="Flagged for Review"),
"Warning",
"Clean"))</f>
        <v>Clean</v>
      </c>
      <c r="AD586">
        <f t="shared" si="95"/>
        <v>0.15</v>
      </c>
      <c r="AE586">
        <f>N586*O586*(1-AD586)</f>
        <v>837.19049999999993</v>
      </c>
      <c r="AF586">
        <f>AE586-R586</f>
        <v>253.40049999999997</v>
      </c>
      <c r="AG586" s="3">
        <f t="shared" si="96"/>
        <v>0.30267961712417901</v>
      </c>
      <c r="AH586" t="str">
        <f t="shared" si="97"/>
        <v>August</v>
      </c>
      <c r="AI586">
        <f t="shared" si="98"/>
        <v>2024</v>
      </c>
    </row>
    <row r="587" spans="1:35">
      <c r="A587" t="s">
        <v>1863</v>
      </c>
      <c r="B587" s="2">
        <v>45830</v>
      </c>
      <c r="C587" s="2">
        <v>45833</v>
      </c>
      <c r="D587" t="s">
        <v>1864</v>
      </c>
      <c r="E587" t="s">
        <v>176</v>
      </c>
      <c r="F587" t="s">
        <v>51</v>
      </c>
      <c r="G587" t="s">
        <v>77</v>
      </c>
      <c r="H587" t="s">
        <v>78</v>
      </c>
      <c r="I587" t="s">
        <v>79</v>
      </c>
      <c r="J587" t="s">
        <v>88</v>
      </c>
      <c r="K587" t="s">
        <v>185</v>
      </c>
      <c r="L587" t="s">
        <v>1865</v>
      </c>
      <c r="M587" t="s">
        <v>64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46</v>
      </c>
      <c r="U587" t="s">
        <v>47</v>
      </c>
      <c r="V587" t="str">
        <f t="shared" si="89"/>
        <v>Valid</v>
      </c>
      <c r="W587">
        <f t="shared" si="90"/>
        <v>3</v>
      </c>
      <c r="Y587" t="str">
        <f t="shared" si="91"/>
        <v>OK</v>
      </c>
      <c r="Z587" t="str">
        <f t="shared" si="92"/>
        <v>OK</v>
      </c>
      <c r="AA587" t="str">
        <f t="shared" si="93"/>
        <v>OK</v>
      </c>
      <c r="AB587" t="str">
        <f t="shared" si="94"/>
        <v>Valid</v>
      </c>
      <c r="AC587" t="str">
        <f>IF(OR(AB587="Invalid Discount",V587="Invalid Shipping"),
"Invalid",
IF(OR(Y587="Missing Region",
Z587="Missing Ship Mode",
AA587="Missing Discount",
X587="Flagged for Review"),
"Warning",
"Clean"))</f>
        <v>Clean</v>
      </c>
      <c r="AD587">
        <f t="shared" si="95"/>
        <v>0</v>
      </c>
      <c r="AE587">
        <f>N587*O587*(1-AD587)</f>
        <v>27629.279999999999</v>
      </c>
      <c r="AF587">
        <f>AE587-R587</f>
        <v>5602.7999999999993</v>
      </c>
      <c r="AG587" s="3">
        <f t="shared" si="96"/>
        <v>0.20278487170132553</v>
      </c>
      <c r="AH587" t="str">
        <f t="shared" si="97"/>
        <v>June</v>
      </c>
      <c r="AI587">
        <f t="shared" si="98"/>
        <v>2025</v>
      </c>
    </row>
    <row r="588" spans="1:35">
      <c r="A588" t="s">
        <v>1866</v>
      </c>
      <c r="B588" s="2">
        <v>45759</v>
      </c>
      <c r="C588" s="2">
        <v>45759</v>
      </c>
      <c r="D588" t="s">
        <v>1867</v>
      </c>
      <c r="E588" t="s">
        <v>50</v>
      </c>
      <c r="F588" t="s">
        <v>109</v>
      </c>
      <c r="G588" t="s">
        <v>39</v>
      </c>
      <c r="H588" t="s">
        <v>136</v>
      </c>
      <c r="I588" t="s">
        <v>137</v>
      </c>
      <c r="J588" t="s">
        <v>42</v>
      </c>
      <c r="K588" t="s">
        <v>167</v>
      </c>
      <c r="L588" t="s">
        <v>1868</v>
      </c>
      <c r="M588" t="s">
        <v>45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46</v>
      </c>
      <c r="U588" t="s">
        <v>47</v>
      </c>
      <c r="V588" t="str">
        <f t="shared" si="89"/>
        <v>Valid</v>
      </c>
      <c r="W588">
        <f t="shared" si="90"/>
        <v>0</v>
      </c>
      <c r="Y588" t="str">
        <f t="shared" si="91"/>
        <v>OK</v>
      </c>
      <c r="Z588" t="str">
        <f t="shared" si="92"/>
        <v>OK</v>
      </c>
      <c r="AA588" t="str">
        <f t="shared" si="93"/>
        <v>OK</v>
      </c>
      <c r="AB588" t="str">
        <f t="shared" si="94"/>
        <v>Valid</v>
      </c>
      <c r="AC588" t="str">
        <f>IF(OR(AB588="Invalid Discount",V588="Invalid Shipping"),
"Invalid",
IF(OR(Y588="Missing Region",
Z588="Missing Ship Mode",
AA588="Missing Discount",
X588="Flagged for Review"),
"Warning",
"Clean"))</f>
        <v>Clean</v>
      </c>
      <c r="AD588">
        <f t="shared" si="95"/>
        <v>0.2</v>
      </c>
      <c r="AE588">
        <f>N588*O588*(1-AD588)</f>
        <v>7471.52</v>
      </c>
      <c r="AF588">
        <f>AE588-R588</f>
        <v>1287.2000000000007</v>
      </c>
      <c r="AG588" s="3">
        <f t="shared" si="96"/>
        <v>0.17228087457438387</v>
      </c>
      <c r="AH588" t="str">
        <f t="shared" si="97"/>
        <v>April</v>
      </c>
      <c r="AI588">
        <f t="shared" si="98"/>
        <v>2025</v>
      </c>
    </row>
    <row r="589" spans="1:35">
      <c r="A589" t="s">
        <v>1869</v>
      </c>
      <c r="B589" s="2">
        <v>45861</v>
      </c>
      <c r="C589" s="2">
        <v>45869</v>
      </c>
      <c r="D589" t="s">
        <v>1870</v>
      </c>
      <c r="E589" t="s">
        <v>279</v>
      </c>
      <c r="F589" t="s">
        <v>109</v>
      </c>
      <c r="G589" t="s">
        <v>77</v>
      </c>
      <c r="H589" t="s">
        <v>86</v>
      </c>
      <c r="I589" t="s">
        <v>87</v>
      </c>
      <c r="J589" t="s">
        <v>88</v>
      </c>
      <c r="K589" t="s">
        <v>89</v>
      </c>
      <c r="L589" t="s">
        <v>1871</v>
      </c>
      <c r="M589" t="s">
        <v>64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116</v>
      </c>
      <c r="U589" t="s">
        <v>82</v>
      </c>
      <c r="V589" t="str">
        <f t="shared" si="89"/>
        <v>Valid</v>
      </c>
      <c r="W589">
        <f t="shared" si="90"/>
        <v>8</v>
      </c>
      <c r="Y589" t="str">
        <f t="shared" si="91"/>
        <v>OK</v>
      </c>
      <c r="Z589" t="str">
        <f t="shared" si="92"/>
        <v>OK</v>
      </c>
      <c r="AA589" t="str">
        <f t="shared" si="93"/>
        <v>OK</v>
      </c>
      <c r="AB589" t="str">
        <f t="shared" si="94"/>
        <v>Valid</v>
      </c>
      <c r="AC589" t="str">
        <f>IF(OR(AB589="Invalid Discount",V589="Invalid Shipping"),
"Invalid",
IF(OR(Y589="Missing Region",
Z589="Missing Ship Mode",
AA589="Missing Discount",
X589="Flagged for Review"),
"Warning",
"Clean"))</f>
        <v>Clean</v>
      </c>
      <c r="AD589">
        <f t="shared" si="95"/>
        <v>0.15</v>
      </c>
      <c r="AE589">
        <f>N589*O589*(1-AD589)</f>
        <v>3615.7640000000001</v>
      </c>
      <c r="AF589">
        <f>AE589-R589</f>
        <v>664.24400000000014</v>
      </c>
      <c r="AG589" s="3">
        <f t="shared" si="96"/>
        <v>0.18370778623826114</v>
      </c>
      <c r="AH589" t="str">
        <f t="shared" si="97"/>
        <v>July</v>
      </c>
      <c r="AI589">
        <f t="shared" si="98"/>
        <v>2025</v>
      </c>
    </row>
    <row r="590" spans="1:35">
      <c r="A590" t="s">
        <v>1872</v>
      </c>
      <c r="B590" s="2">
        <v>45727</v>
      </c>
      <c r="C590" s="2">
        <v>45731</v>
      </c>
      <c r="D590" t="s">
        <v>1873</v>
      </c>
      <c r="E590" t="s">
        <v>142</v>
      </c>
      <c r="F590" t="s">
        <v>109</v>
      </c>
      <c r="G590" t="s">
        <v>68</v>
      </c>
      <c r="H590" t="s">
        <v>189</v>
      </c>
      <c r="I590" t="s">
        <v>190</v>
      </c>
      <c r="J590" t="s">
        <v>88</v>
      </c>
      <c r="K590" t="s">
        <v>89</v>
      </c>
      <c r="L590" t="s">
        <v>1874</v>
      </c>
      <c r="M590" t="s">
        <v>45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116</v>
      </c>
      <c r="U590" t="s">
        <v>82</v>
      </c>
      <c r="V590" t="str">
        <f t="shared" si="89"/>
        <v>Valid</v>
      </c>
      <c r="W590">
        <f t="shared" si="90"/>
        <v>4</v>
      </c>
      <c r="Y590" t="str">
        <f t="shared" si="91"/>
        <v>OK</v>
      </c>
      <c r="Z590" t="str">
        <f t="shared" si="92"/>
        <v>OK</v>
      </c>
      <c r="AA590" t="str">
        <f t="shared" si="93"/>
        <v>OK</v>
      </c>
      <c r="AB590" t="str">
        <f t="shared" si="94"/>
        <v>Valid</v>
      </c>
      <c r="AC590" t="str">
        <f>IF(OR(AB590="Invalid Discount",V590="Invalid Shipping"),
"Invalid",
IF(OR(Y590="Missing Region",
Z590="Missing Ship Mode",
AA590="Missing Discount",
X590="Flagged for Review"),
"Warning",
"Clean"))</f>
        <v>Clean</v>
      </c>
      <c r="AD590">
        <f t="shared" si="95"/>
        <v>0.1</v>
      </c>
      <c r="AE590">
        <f>N590*O590*(1-AD590)</f>
        <v>32013.791999999998</v>
      </c>
      <c r="AF590">
        <f>AE590-R590</f>
        <v>11116.911999999997</v>
      </c>
      <c r="AG590" s="3">
        <f t="shared" si="96"/>
        <v>0.34725383359771933</v>
      </c>
      <c r="AH590" t="str">
        <f t="shared" si="97"/>
        <v>March</v>
      </c>
      <c r="AI590">
        <f t="shared" si="98"/>
        <v>2025</v>
      </c>
    </row>
    <row r="591" spans="1:35">
      <c r="A591" t="s">
        <v>1875</v>
      </c>
      <c r="B591" s="2">
        <v>45632</v>
      </c>
      <c r="C591" s="2">
        <v>45638</v>
      </c>
      <c r="D591" t="s">
        <v>1876</v>
      </c>
      <c r="E591" t="s">
        <v>155</v>
      </c>
      <c r="F591" t="s">
        <v>104</v>
      </c>
      <c r="G591" t="s">
        <v>39</v>
      </c>
      <c r="H591" t="s">
        <v>150</v>
      </c>
      <c r="I591" t="s">
        <v>151</v>
      </c>
      <c r="J591" t="s">
        <v>88</v>
      </c>
      <c r="K591" t="s">
        <v>185</v>
      </c>
      <c r="L591" t="s">
        <v>1877</v>
      </c>
      <c r="M591" t="s">
        <v>64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46</v>
      </c>
      <c r="U591" t="s">
        <v>47</v>
      </c>
      <c r="V591" t="str">
        <f t="shared" si="89"/>
        <v>Valid</v>
      </c>
      <c r="W591">
        <f t="shared" si="90"/>
        <v>6</v>
      </c>
      <c r="Y591" t="str">
        <f t="shared" si="91"/>
        <v>OK</v>
      </c>
      <c r="Z591" t="str">
        <f t="shared" si="92"/>
        <v>OK</v>
      </c>
      <c r="AA591" t="str">
        <f t="shared" si="93"/>
        <v>OK</v>
      </c>
      <c r="AB591" t="str">
        <f t="shared" si="94"/>
        <v>Valid</v>
      </c>
      <c r="AC591" t="str">
        <f>IF(OR(AB591="Invalid Discount",V591="Invalid Shipping"),
"Invalid",
IF(OR(Y591="Missing Region",
Z591="Missing Ship Mode",
AA591="Missing Discount",
X591="Flagged for Review"),
"Warning",
"Clean"))</f>
        <v>Clean</v>
      </c>
      <c r="AD591">
        <f t="shared" si="95"/>
        <v>0</v>
      </c>
      <c r="AE591">
        <f>N591*O591*(1-AD591)</f>
        <v>1574.25</v>
      </c>
      <c r="AF591">
        <f>AE591-R591</f>
        <v>248.13000000000011</v>
      </c>
      <c r="AG591" s="3">
        <f t="shared" si="96"/>
        <v>0.15761791329204389</v>
      </c>
      <c r="AH591" t="str">
        <f t="shared" si="97"/>
        <v>December</v>
      </c>
      <c r="AI591">
        <f t="shared" si="98"/>
        <v>2024</v>
      </c>
    </row>
    <row r="592" spans="1:35">
      <c r="A592" t="s">
        <v>1878</v>
      </c>
      <c r="B592" s="2">
        <v>45441</v>
      </c>
      <c r="C592" s="2">
        <v>45441</v>
      </c>
      <c r="D592" t="s">
        <v>1879</v>
      </c>
      <c r="E592" t="s">
        <v>142</v>
      </c>
      <c r="F592" t="s">
        <v>109</v>
      </c>
      <c r="G592" t="s">
        <v>39</v>
      </c>
      <c r="H592" t="s">
        <v>365</v>
      </c>
      <c r="I592" t="s">
        <v>366</v>
      </c>
      <c r="J592" t="s">
        <v>55</v>
      </c>
      <c r="K592" t="s">
        <v>80</v>
      </c>
      <c r="L592" t="s">
        <v>1880</v>
      </c>
      <c r="M592" t="s">
        <v>58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125</v>
      </c>
      <c r="U592" t="s">
        <v>82</v>
      </c>
      <c r="V592" t="str">
        <f t="shared" si="89"/>
        <v>Valid</v>
      </c>
      <c r="W592">
        <f t="shared" si="90"/>
        <v>0</v>
      </c>
      <c r="Y592" t="str">
        <f t="shared" si="91"/>
        <v>OK</v>
      </c>
      <c r="Z592" t="str">
        <f t="shared" si="92"/>
        <v>OK</v>
      </c>
      <c r="AA592" t="str">
        <f t="shared" si="93"/>
        <v>OK</v>
      </c>
      <c r="AB592" t="str">
        <f t="shared" si="94"/>
        <v>Valid</v>
      </c>
      <c r="AC592" t="str">
        <f>IF(OR(AB592="Invalid Discount",V592="Invalid Shipping"),
"Invalid",
IF(OR(Y592="Missing Region",
Z592="Missing Ship Mode",
AA592="Missing Discount",
X592="Flagged for Review"),
"Warning",
"Clean"))</f>
        <v>Clean</v>
      </c>
      <c r="AD592">
        <f t="shared" si="95"/>
        <v>0</v>
      </c>
      <c r="AE592">
        <f>N592*O592*(1-AD592)</f>
        <v>20582.099999999999</v>
      </c>
      <c r="AF592">
        <f>AE592-R592</f>
        <v>4684.4499999999989</v>
      </c>
      <c r="AG592" s="3">
        <f t="shared" si="96"/>
        <v>0.22759825285077806</v>
      </c>
      <c r="AH592" t="str">
        <f t="shared" si="97"/>
        <v>May</v>
      </c>
      <c r="AI592">
        <f t="shared" si="98"/>
        <v>2024</v>
      </c>
    </row>
    <row r="593" spans="1:35">
      <c r="A593" t="s">
        <v>1881</v>
      </c>
      <c r="B593" s="2">
        <v>45344</v>
      </c>
      <c r="C593" s="2">
        <v>45346</v>
      </c>
      <c r="D593" t="s">
        <v>1882</v>
      </c>
      <c r="E593" t="s">
        <v>146</v>
      </c>
      <c r="F593" t="s">
        <v>38</v>
      </c>
      <c r="G593" t="s">
        <v>68</v>
      </c>
      <c r="H593" t="s">
        <v>189</v>
      </c>
      <c r="I593" t="s">
        <v>190</v>
      </c>
      <c r="J593" t="s">
        <v>88</v>
      </c>
      <c r="K593" t="s">
        <v>94</v>
      </c>
      <c r="L593" t="s">
        <v>1883</v>
      </c>
      <c r="M593" t="s">
        <v>64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169</v>
      </c>
      <c r="U593" t="s">
        <v>117</v>
      </c>
      <c r="V593" t="str">
        <f t="shared" si="89"/>
        <v>Valid</v>
      </c>
      <c r="W593">
        <f t="shared" si="90"/>
        <v>2</v>
      </c>
      <c r="Y593" t="str">
        <f t="shared" si="91"/>
        <v>OK</v>
      </c>
      <c r="Z593" t="str">
        <f t="shared" si="92"/>
        <v>OK</v>
      </c>
      <c r="AA593" t="str">
        <f t="shared" si="93"/>
        <v>OK</v>
      </c>
      <c r="AB593" t="str">
        <f t="shared" si="94"/>
        <v>Valid</v>
      </c>
      <c r="AC593" t="str">
        <f>IF(OR(AB593="Invalid Discount",V593="Invalid Shipping"),
"Invalid",
IF(OR(Y593="Missing Region",
Z593="Missing Ship Mode",
AA593="Missing Discount",
X593="Flagged for Review"),
"Warning",
"Clean"))</f>
        <v>Clean</v>
      </c>
      <c r="AD593">
        <f t="shared" si="95"/>
        <v>0</v>
      </c>
      <c r="AE593">
        <f>N593*O593*(1-AD593)</f>
        <v>10635.24</v>
      </c>
      <c r="AF593">
        <f>AE593-R593</f>
        <v>4603.3599999999997</v>
      </c>
      <c r="AG593" s="3">
        <f t="shared" si="96"/>
        <v>0.43284025560307055</v>
      </c>
      <c r="AH593" t="str">
        <f t="shared" si="97"/>
        <v>February</v>
      </c>
      <c r="AI593">
        <f t="shared" si="98"/>
        <v>2024</v>
      </c>
    </row>
    <row r="594" spans="1:35">
      <c r="A594" t="s">
        <v>1884</v>
      </c>
      <c r="B594" s="2">
        <v>45355</v>
      </c>
      <c r="C594" s="2">
        <v>45360</v>
      </c>
      <c r="D594" t="s">
        <v>1885</v>
      </c>
      <c r="E594" t="s">
        <v>50</v>
      </c>
      <c r="F594" t="s">
        <v>38</v>
      </c>
      <c r="G594" t="s">
        <v>52</v>
      </c>
      <c r="H594" t="s">
        <v>113</v>
      </c>
      <c r="I594" t="s">
        <v>114</v>
      </c>
      <c r="J594" t="s">
        <v>88</v>
      </c>
      <c r="K594" t="s">
        <v>89</v>
      </c>
      <c r="L594" t="s">
        <v>1886</v>
      </c>
      <c r="M594" t="s">
        <v>58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46</v>
      </c>
      <c r="U594" t="s">
        <v>47</v>
      </c>
      <c r="V594" t="str">
        <f t="shared" si="89"/>
        <v>Valid</v>
      </c>
      <c r="W594">
        <f t="shared" si="90"/>
        <v>5</v>
      </c>
      <c r="Y594" t="str">
        <f t="shared" si="91"/>
        <v>OK</v>
      </c>
      <c r="Z594" t="str">
        <f t="shared" si="92"/>
        <v>OK</v>
      </c>
      <c r="AA594" t="str">
        <f t="shared" si="93"/>
        <v>OK</v>
      </c>
      <c r="AB594" t="str">
        <f t="shared" si="94"/>
        <v>Valid</v>
      </c>
      <c r="AC594" t="str">
        <f>IF(OR(AB594="Invalid Discount",V594="Invalid Shipping"),
"Invalid",
IF(OR(Y594="Missing Region",
Z594="Missing Ship Mode",
AA594="Missing Discount",
X594="Flagged for Review"),
"Warning",
"Clean"))</f>
        <v>Clean</v>
      </c>
      <c r="AD594">
        <f t="shared" si="95"/>
        <v>0.15</v>
      </c>
      <c r="AE594">
        <f>N594*O594*(1-AD594)</f>
        <v>29929.588</v>
      </c>
      <c r="AF594">
        <f>AE594-R594</f>
        <v>7493.5580000000009</v>
      </c>
      <c r="AG594" s="3">
        <f t="shared" si="96"/>
        <v>0.25037290857461858</v>
      </c>
      <c r="AH594" t="str">
        <f t="shared" si="97"/>
        <v>March</v>
      </c>
      <c r="AI594">
        <f t="shared" si="98"/>
        <v>2024</v>
      </c>
    </row>
    <row r="595" spans="1:35">
      <c r="A595" t="s">
        <v>1887</v>
      </c>
      <c r="B595" s="2">
        <v>45927</v>
      </c>
      <c r="C595" s="2">
        <v>45929</v>
      </c>
      <c r="D595" t="s">
        <v>1679</v>
      </c>
      <c r="E595" t="s">
        <v>67</v>
      </c>
      <c r="F595" t="s">
        <v>109</v>
      </c>
      <c r="G595" t="s">
        <v>39</v>
      </c>
      <c r="H595" t="s">
        <v>150</v>
      </c>
      <c r="I595" t="s">
        <v>151</v>
      </c>
      <c r="J595" t="s">
        <v>55</v>
      </c>
      <c r="K595" t="s">
        <v>56</v>
      </c>
      <c r="L595" t="s">
        <v>1888</v>
      </c>
      <c r="M595" t="s">
        <v>45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46</v>
      </c>
      <c r="U595" t="s">
        <v>47</v>
      </c>
      <c r="V595" t="str">
        <f t="shared" si="89"/>
        <v>Valid</v>
      </c>
      <c r="W595">
        <f t="shared" si="90"/>
        <v>2</v>
      </c>
      <c r="Y595" t="str">
        <f t="shared" si="91"/>
        <v>OK</v>
      </c>
      <c r="Z595" t="str">
        <f t="shared" si="92"/>
        <v>OK</v>
      </c>
      <c r="AA595" t="str">
        <f t="shared" si="93"/>
        <v>OK</v>
      </c>
      <c r="AB595" t="str">
        <f t="shared" si="94"/>
        <v>Valid</v>
      </c>
      <c r="AC595" t="str">
        <f>IF(OR(AB595="Invalid Discount",V595="Invalid Shipping"),
"Invalid",
IF(OR(Y595="Missing Region",
Z595="Missing Ship Mode",
AA595="Missing Discount",
X595="Flagged for Review"),
"Warning",
"Clean"))</f>
        <v>Clean</v>
      </c>
      <c r="AD595">
        <f t="shared" si="95"/>
        <v>0.25</v>
      </c>
      <c r="AE595">
        <f>N595*O595*(1-AD595)</f>
        <v>27675.7425</v>
      </c>
      <c r="AF595">
        <f>AE595-R595</f>
        <v>12104.6625</v>
      </c>
      <c r="AG595" s="3">
        <f t="shared" si="96"/>
        <v>0.4373744444254748</v>
      </c>
      <c r="AH595" t="str">
        <f t="shared" si="97"/>
        <v>September</v>
      </c>
      <c r="AI595">
        <f t="shared" si="98"/>
        <v>2025</v>
      </c>
    </row>
    <row r="596" spans="1:35">
      <c r="A596" t="s">
        <v>1889</v>
      </c>
      <c r="B596" s="2">
        <v>45554</v>
      </c>
      <c r="C596" s="2">
        <v>45556</v>
      </c>
      <c r="D596" t="s">
        <v>1890</v>
      </c>
      <c r="E596" t="s">
        <v>37</v>
      </c>
      <c r="F596" t="s">
        <v>51</v>
      </c>
      <c r="G596" t="s">
        <v>52</v>
      </c>
      <c r="H596" t="s">
        <v>113</v>
      </c>
      <c r="I596" t="s">
        <v>114</v>
      </c>
      <c r="J596" t="s">
        <v>55</v>
      </c>
      <c r="K596" t="s">
        <v>80</v>
      </c>
      <c r="L596" t="s">
        <v>1891</v>
      </c>
      <c r="M596" t="s">
        <v>64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46</v>
      </c>
      <c r="U596" t="s">
        <v>47</v>
      </c>
      <c r="V596" t="str">
        <f t="shared" si="89"/>
        <v>Valid</v>
      </c>
      <c r="W596">
        <f t="shared" si="90"/>
        <v>2</v>
      </c>
      <c r="Y596" t="str">
        <f t="shared" si="91"/>
        <v>OK</v>
      </c>
      <c r="Z596" t="str">
        <f t="shared" si="92"/>
        <v>OK</v>
      </c>
      <c r="AA596" t="str">
        <f t="shared" si="93"/>
        <v>OK</v>
      </c>
      <c r="AB596" t="str">
        <f t="shared" si="94"/>
        <v>Valid</v>
      </c>
      <c r="AC596" t="str">
        <f>IF(OR(AB596="Invalid Discount",V596="Invalid Shipping"),
"Invalid",
IF(OR(Y596="Missing Region",
Z596="Missing Ship Mode",
AA596="Missing Discount",
X596="Flagged for Review"),
"Warning",
"Clean"))</f>
        <v>Clean</v>
      </c>
      <c r="AD596">
        <f t="shared" si="95"/>
        <v>0</v>
      </c>
      <c r="AE596">
        <f>N596*O596*(1-AD596)</f>
        <v>11945.28</v>
      </c>
      <c r="AF596">
        <f>AE596-R596</f>
        <v>2244.9700000000012</v>
      </c>
      <c r="AG596" s="3">
        <f t="shared" si="96"/>
        <v>0.18793782983739193</v>
      </c>
      <c r="AH596" t="str">
        <f t="shared" si="97"/>
        <v>September</v>
      </c>
      <c r="AI596">
        <f t="shared" si="98"/>
        <v>2024</v>
      </c>
    </row>
    <row r="597" spans="1:35">
      <c r="A597" t="s">
        <v>1892</v>
      </c>
      <c r="B597" s="2">
        <v>45699</v>
      </c>
      <c r="C597" s="2">
        <v>45704</v>
      </c>
      <c r="D597" t="s">
        <v>1893</v>
      </c>
      <c r="E597" t="s">
        <v>50</v>
      </c>
      <c r="F597" t="s">
        <v>104</v>
      </c>
      <c r="G597" t="s">
        <v>39</v>
      </c>
      <c r="H597" t="s">
        <v>150</v>
      </c>
      <c r="I597" t="s">
        <v>151</v>
      </c>
      <c r="J597" t="s">
        <v>88</v>
      </c>
      <c r="K597" t="s">
        <v>185</v>
      </c>
      <c r="L597" t="s">
        <v>1894</v>
      </c>
      <c r="M597" t="s">
        <v>64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46</v>
      </c>
      <c r="U597" t="s">
        <v>47</v>
      </c>
      <c r="V597" t="str">
        <f t="shared" si="89"/>
        <v>Valid</v>
      </c>
      <c r="W597">
        <f t="shared" si="90"/>
        <v>5</v>
      </c>
      <c r="Y597" t="str">
        <f t="shared" si="91"/>
        <v>OK</v>
      </c>
      <c r="Z597" t="str">
        <f t="shared" si="92"/>
        <v>OK</v>
      </c>
      <c r="AA597" t="str">
        <f t="shared" si="93"/>
        <v>OK</v>
      </c>
      <c r="AB597" t="str">
        <f t="shared" si="94"/>
        <v>Valid</v>
      </c>
      <c r="AC597" t="str">
        <f>IF(OR(AB597="Invalid Discount",V597="Invalid Shipping"),
"Invalid",
IF(OR(Y597="Missing Region",
Z597="Missing Ship Mode",
AA597="Missing Discount",
X597="Flagged for Review"),
"Warning",
"Clean"))</f>
        <v>Clean</v>
      </c>
      <c r="AD597">
        <f t="shared" si="95"/>
        <v>0.1</v>
      </c>
      <c r="AE597">
        <f>N597*O597*(1-AD597)</f>
        <v>13144.031999999999</v>
      </c>
      <c r="AF597">
        <f>AE597-R597</f>
        <v>3380.0319999999992</v>
      </c>
      <c r="AG597" s="3">
        <f t="shared" si="96"/>
        <v>0.25715336055176974</v>
      </c>
      <c r="AH597" t="str">
        <f t="shared" si="97"/>
        <v>February</v>
      </c>
      <c r="AI597">
        <f t="shared" si="98"/>
        <v>2025</v>
      </c>
    </row>
    <row r="598" spans="1:35">
      <c r="A598" t="s">
        <v>1895</v>
      </c>
      <c r="B598" s="2">
        <v>45392</v>
      </c>
      <c r="C598" s="2">
        <v>45398</v>
      </c>
      <c r="D598" t="s">
        <v>1896</v>
      </c>
      <c r="E598" t="s">
        <v>103</v>
      </c>
      <c r="F598" t="s">
        <v>38</v>
      </c>
      <c r="G598" t="s">
        <v>68</v>
      </c>
      <c r="H598" t="s">
        <v>199</v>
      </c>
      <c r="I598" t="s">
        <v>200</v>
      </c>
      <c r="J598" t="s">
        <v>55</v>
      </c>
      <c r="K598" t="s">
        <v>80</v>
      </c>
      <c r="L598" t="s">
        <v>1897</v>
      </c>
      <c r="M598" t="s">
        <v>45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46</v>
      </c>
      <c r="U598" t="s">
        <v>47</v>
      </c>
      <c r="V598" t="str">
        <f t="shared" si="89"/>
        <v>Valid</v>
      </c>
      <c r="W598">
        <f t="shared" si="90"/>
        <v>6</v>
      </c>
      <c r="Y598" t="str">
        <f t="shared" si="91"/>
        <v>OK</v>
      </c>
      <c r="Z598" t="str">
        <f t="shared" si="92"/>
        <v>OK</v>
      </c>
      <c r="AA598" t="str">
        <f t="shared" si="93"/>
        <v>OK</v>
      </c>
      <c r="AB598" t="str">
        <f t="shared" si="94"/>
        <v>Valid</v>
      </c>
      <c r="AC598" t="str">
        <f>IF(OR(AB598="Invalid Discount",V598="Invalid Shipping"),
"Invalid",
IF(OR(Y598="Missing Region",
Z598="Missing Ship Mode",
AA598="Missing Discount",
X598="Flagged for Review"),
"Warning",
"Clean"))</f>
        <v>Clean</v>
      </c>
      <c r="AD598">
        <f t="shared" si="95"/>
        <v>0.25</v>
      </c>
      <c r="AE598">
        <f>N598*O598*(1-AD598)</f>
        <v>18382.005000000005</v>
      </c>
      <c r="AF598">
        <f>AE598-R598</f>
        <v>5273.8050000000039</v>
      </c>
      <c r="AG598" s="3">
        <f t="shared" si="96"/>
        <v>0.28690042245119629</v>
      </c>
      <c r="AH598" t="str">
        <f t="shared" si="97"/>
        <v>April</v>
      </c>
      <c r="AI598">
        <f t="shared" si="98"/>
        <v>2024</v>
      </c>
    </row>
    <row r="599" spans="1:35">
      <c r="A599" t="s">
        <v>1898</v>
      </c>
      <c r="B599" s="2">
        <v>45846</v>
      </c>
      <c r="C599" s="2">
        <v>45846</v>
      </c>
      <c r="D599" t="s">
        <v>1899</v>
      </c>
      <c r="E599" t="s">
        <v>103</v>
      </c>
      <c r="F599" t="s">
        <v>38</v>
      </c>
      <c r="G599" t="s">
        <v>68</v>
      </c>
      <c r="H599" t="s">
        <v>69</v>
      </c>
      <c r="I599" t="s">
        <v>70</v>
      </c>
      <c r="J599" t="s">
        <v>88</v>
      </c>
      <c r="K599" t="s">
        <v>94</v>
      </c>
      <c r="L599" t="s">
        <v>1900</v>
      </c>
      <c r="M599" t="s">
        <v>58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46</v>
      </c>
      <c r="U599" t="s">
        <v>47</v>
      </c>
      <c r="V599" t="str">
        <f t="shared" si="89"/>
        <v>Valid</v>
      </c>
      <c r="W599">
        <f t="shared" si="90"/>
        <v>0</v>
      </c>
      <c r="Y599" t="str">
        <f t="shared" si="91"/>
        <v>OK</v>
      </c>
      <c r="Z599" t="str">
        <f t="shared" si="92"/>
        <v>OK</v>
      </c>
      <c r="AA599" t="str">
        <f t="shared" si="93"/>
        <v>OK</v>
      </c>
      <c r="AB599" t="str">
        <f t="shared" si="94"/>
        <v>Valid</v>
      </c>
      <c r="AC599" t="str">
        <f>IF(OR(AB599="Invalid Discount",V599="Invalid Shipping"),
"Invalid",
IF(OR(Y599="Missing Region",
Z599="Missing Ship Mode",
AA599="Missing Discount",
X599="Flagged for Review"),
"Warning",
"Clean"))</f>
        <v>Clean</v>
      </c>
      <c r="AD599">
        <f t="shared" si="95"/>
        <v>0.25</v>
      </c>
      <c r="AE599">
        <f>N599*O599*(1-AD599)</f>
        <v>1855.44</v>
      </c>
      <c r="AF599">
        <f>AE599-R599</f>
        <v>592.70000000000005</v>
      </c>
      <c r="AG599" s="3">
        <f t="shared" si="96"/>
        <v>0.3194390548872505</v>
      </c>
      <c r="AH599" t="str">
        <f t="shared" si="97"/>
        <v>July</v>
      </c>
      <c r="AI599">
        <f t="shared" si="98"/>
        <v>2025</v>
      </c>
    </row>
    <row r="600" spans="1:35">
      <c r="A600" t="s">
        <v>1901</v>
      </c>
      <c r="B600" s="2">
        <v>45521</v>
      </c>
      <c r="C600" s="2">
        <v>45528</v>
      </c>
      <c r="D600" t="s">
        <v>1902</v>
      </c>
      <c r="E600" t="s">
        <v>76</v>
      </c>
      <c r="F600" t="s">
        <v>104</v>
      </c>
      <c r="G600" t="s">
        <v>52</v>
      </c>
      <c r="H600" t="s">
        <v>113</v>
      </c>
      <c r="I600" t="s">
        <v>114</v>
      </c>
      <c r="J600" t="s">
        <v>88</v>
      </c>
      <c r="K600" t="s">
        <v>94</v>
      </c>
      <c r="L600" t="s">
        <v>1903</v>
      </c>
      <c r="M600" t="s">
        <v>58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46</v>
      </c>
      <c r="U600" t="s">
        <v>47</v>
      </c>
      <c r="V600" t="str">
        <f t="shared" si="89"/>
        <v>Valid</v>
      </c>
      <c r="W600">
        <f t="shared" si="90"/>
        <v>7</v>
      </c>
      <c r="Y600" t="str">
        <f t="shared" si="91"/>
        <v>OK</v>
      </c>
      <c r="Z600" t="str">
        <f t="shared" si="92"/>
        <v>OK</v>
      </c>
      <c r="AA600" t="str">
        <f t="shared" si="93"/>
        <v>OK</v>
      </c>
      <c r="AB600" t="str">
        <f t="shared" si="94"/>
        <v>Valid</v>
      </c>
      <c r="AC600" t="str">
        <f>IF(OR(AB600="Invalid Discount",V600="Invalid Shipping"),
"Invalid",
IF(OR(Y600="Missing Region",
Z600="Missing Ship Mode",
AA600="Missing Discount",
X600="Flagged for Review"),
"Warning",
"Clean"))</f>
        <v>Clean</v>
      </c>
      <c r="AD600">
        <f t="shared" si="95"/>
        <v>0.25</v>
      </c>
      <c r="AE600">
        <f>N600*O600*(1-AD600)</f>
        <v>3354.0524999999998</v>
      </c>
      <c r="AF600">
        <f>AE600-R600</f>
        <v>681.38249999999971</v>
      </c>
      <c r="AG600" s="3">
        <f t="shared" si="96"/>
        <v>0.20315200790685289</v>
      </c>
      <c r="AH600" t="str">
        <f t="shared" si="97"/>
        <v>August</v>
      </c>
      <c r="AI600">
        <f t="shared" si="98"/>
        <v>2024</v>
      </c>
    </row>
    <row r="601" spans="1:35">
      <c r="A601" t="s">
        <v>1904</v>
      </c>
      <c r="B601" s="2">
        <v>45523</v>
      </c>
      <c r="C601" s="2">
        <v>45525</v>
      </c>
      <c r="D601" t="s">
        <v>1905</v>
      </c>
      <c r="E601" t="s">
        <v>67</v>
      </c>
      <c r="F601" t="s">
        <v>38</v>
      </c>
      <c r="G601" t="s">
        <v>39</v>
      </c>
      <c r="H601" t="s">
        <v>136</v>
      </c>
      <c r="I601" t="s">
        <v>137</v>
      </c>
      <c r="J601" t="s">
        <v>88</v>
      </c>
      <c r="K601" t="s">
        <v>185</v>
      </c>
      <c r="L601" t="s">
        <v>1906</v>
      </c>
      <c r="M601" t="s">
        <v>64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46</v>
      </c>
      <c r="U601" t="s">
        <v>47</v>
      </c>
      <c r="V601" t="str">
        <f t="shared" si="89"/>
        <v>Valid</v>
      </c>
      <c r="W601">
        <f t="shared" si="90"/>
        <v>2</v>
      </c>
      <c r="Y601" t="str">
        <f t="shared" si="91"/>
        <v>OK</v>
      </c>
      <c r="Z601" t="str">
        <f t="shared" si="92"/>
        <v>OK</v>
      </c>
      <c r="AA601" t="str">
        <f t="shared" si="93"/>
        <v>OK</v>
      </c>
      <c r="AB601" t="str">
        <f t="shared" si="94"/>
        <v>Valid</v>
      </c>
      <c r="AC601" t="str">
        <f>IF(OR(AB601="Invalid Discount",V601="Invalid Shipping"),
"Invalid",
IF(OR(Y601="Missing Region",
Z601="Missing Ship Mode",
AA601="Missing Discount",
X601="Flagged for Review"),
"Warning",
"Clean"))</f>
        <v>Clean</v>
      </c>
      <c r="AD601">
        <f t="shared" si="95"/>
        <v>0.25</v>
      </c>
      <c r="AE601">
        <f>N601*O601*(1-AD601)</f>
        <v>2482.9650000000001</v>
      </c>
      <c r="AF601">
        <f>AE601-R601</f>
        <v>861.24500000000012</v>
      </c>
      <c r="AG601" s="3">
        <f t="shared" si="96"/>
        <v>0.34686151435884116</v>
      </c>
      <c r="AH601" t="str">
        <f t="shared" si="97"/>
        <v>August</v>
      </c>
      <c r="AI601">
        <f t="shared" si="98"/>
        <v>2024</v>
      </c>
    </row>
    <row r="602" spans="1:35">
      <c r="A602" t="s">
        <v>1907</v>
      </c>
      <c r="B602" s="2">
        <v>45721</v>
      </c>
      <c r="C602" s="2">
        <v>45728</v>
      </c>
      <c r="D602" t="s">
        <v>1908</v>
      </c>
      <c r="E602" t="s">
        <v>76</v>
      </c>
      <c r="F602" t="s">
        <v>104</v>
      </c>
      <c r="G602" t="s">
        <v>77</v>
      </c>
      <c r="H602" t="s">
        <v>86</v>
      </c>
      <c r="I602" t="s">
        <v>87</v>
      </c>
      <c r="J602" t="s">
        <v>42</v>
      </c>
      <c r="K602" t="s">
        <v>138</v>
      </c>
      <c r="L602" t="s">
        <v>1909</v>
      </c>
      <c r="M602" t="s">
        <v>58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46</v>
      </c>
      <c r="U602" t="s">
        <v>47</v>
      </c>
      <c r="V602" t="str">
        <f t="shared" si="89"/>
        <v>Valid</v>
      </c>
      <c r="W602">
        <f t="shared" si="90"/>
        <v>7</v>
      </c>
      <c r="Y602" t="str">
        <f t="shared" si="91"/>
        <v>OK</v>
      </c>
      <c r="Z602" t="str">
        <f t="shared" si="92"/>
        <v>OK</v>
      </c>
      <c r="AA602" t="str">
        <f t="shared" si="93"/>
        <v>Missing Discount</v>
      </c>
      <c r="AB602" t="str">
        <f t="shared" si="94"/>
        <v>Valid</v>
      </c>
      <c r="AC602" t="str">
        <f>IF(OR(AB602="Invalid Discount",V602="Invalid Shipping"),
"Invalid",
IF(OR(Y602="Missing Region",
Z602="Missing Ship Mode",
AA602="Missing Discount",
X602="Flagged for Review"),
"Warning",
"Clean"))</f>
        <v>Warning</v>
      </c>
      <c r="AD602">
        <f t="shared" si="95"/>
        <v>0</v>
      </c>
      <c r="AE602">
        <f>N602*O602*(1-AD602)</f>
        <v>11048.25</v>
      </c>
      <c r="AF602">
        <f>AE602-R602</f>
        <v>1985.5300000000007</v>
      </c>
      <c r="AG602" s="3">
        <f t="shared" si="96"/>
        <v>0.17971443441268986</v>
      </c>
      <c r="AH602" t="str">
        <f t="shared" si="97"/>
        <v>March</v>
      </c>
      <c r="AI602">
        <f t="shared" si="98"/>
        <v>2025</v>
      </c>
    </row>
    <row r="603" spans="1:35">
      <c r="A603" t="s">
        <v>1910</v>
      </c>
      <c r="B603" s="2">
        <v>45317</v>
      </c>
      <c r="C603" s="2">
        <v>45322</v>
      </c>
      <c r="D603" t="s">
        <v>1911</v>
      </c>
      <c r="E603" t="s">
        <v>76</v>
      </c>
      <c r="F603" t="s">
        <v>109</v>
      </c>
      <c r="G603" t="s">
        <v>52</v>
      </c>
      <c r="H603" t="s">
        <v>113</v>
      </c>
      <c r="I603" t="s">
        <v>114</v>
      </c>
      <c r="J603" t="s">
        <v>42</v>
      </c>
      <c r="K603" t="s">
        <v>43</v>
      </c>
      <c r="L603" t="s">
        <v>1912</v>
      </c>
      <c r="M603" t="s">
        <v>45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46</v>
      </c>
      <c r="U603" t="s">
        <v>47</v>
      </c>
      <c r="V603" t="str">
        <f t="shared" si="89"/>
        <v>Valid</v>
      </c>
      <c r="W603">
        <f t="shared" si="90"/>
        <v>5</v>
      </c>
      <c r="Y603" t="str">
        <f t="shared" si="91"/>
        <v>OK</v>
      </c>
      <c r="Z603" t="str">
        <f t="shared" si="92"/>
        <v>OK</v>
      </c>
      <c r="AA603" t="str">
        <f t="shared" si="93"/>
        <v>OK</v>
      </c>
      <c r="AB603" t="str">
        <f t="shared" si="94"/>
        <v>Valid</v>
      </c>
      <c r="AC603" t="str">
        <f>IF(OR(AB603="Invalid Discount",V603="Invalid Shipping"),
"Invalid",
IF(OR(Y603="Missing Region",
Z603="Missing Ship Mode",
AA603="Missing Discount",
X603="Flagged for Review"),
"Warning",
"Clean"))</f>
        <v>Clean</v>
      </c>
      <c r="AD603">
        <f t="shared" si="95"/>
        <v>0.2</v>
      </c>
      <c r="AE603">
        <f>N603*O603*(1-AD603)</f>
        <v>6460.12</v>
      </c>
      <c r="AF603">
        <f>AE603-R603</f>
        <v>2856.0899999999997</v>
      </c>
      <c r="AG603" s="3">
        <f t="shared" si="96"/>
        <v>0.44211098245853014</v>
      </c>
      <c r="AH603" t="str">
        <f t="shared" si="97"/>
        <v>January</v>
      </c>
      <c r="AI603">
        <f t="shared" si="98"/>
        <v>2024</v>
      </c>
    </row>
    <row r="604" spans="1:35">
      <c r="A604" t="s">
        <v>1913</v>
      </c>
      <c r="B604" s="2">
        <v>45588</v>
      </c>
      <c r="C604" s="2">
        <v>45595</v>
      </c>
      <c r="D604" t="s">
        <v>1914</v>
      </c>
      <c r="E604" t="s">
        <v>142</v>
      </c>
      <c r="F604" t="s">
        <v>38</v>
      </c>
      <c r="G604" t="s">
        <v>52</v>
      </c>
      <c r="H604" t="s">
        <v>243</v>
      </c>
      <c r="I604" t="s">
        <v>244</v>
      </c>
      <c r="J604" t="s">
        <v>88</v>
      </c>
      <c r="K604" t="s">
        <v>94</v>
      </c>
      <c r="L604" t="s">
        <v>1915</v>
      </c>
      <c r="M604" t="s">
        <v>45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46</v>
      </c>
      <c r="U604" t="s">
        <v>47</v>
      </c>
      <c r="V604" t="str">
        <f t="shared" si="89"/>
        <v>Valid</v>
      </c>
      <c r="W604">
        <f t="shared" si="90"/>
        <v>7</v>
      </c>
      <c r="Y604" t="str">
        <f t="shared" si="91"/>
        <v>OK</v>
      </c>
      <c r="Z604" t="str">
        <f t="shared" si="92"/>
        <v>OK</v>
      </c>
      <c r="AA604" t="str">
        <f t="shared" si="93"/>
        <v>OK</v>
      </c>
      <c r="AB604" t="str">
        <f t="shared" si="94"/>
        <v>Valid</v>
      </c>
      <c r="AC604" t="str">
        <f>IF(OR(AB604="Invalid Discount",V604="Invalid Shipping"),
"Invalid",
IF(OR(Y604="Missing Region",
Z604="Missing Ship Mode",
AA604="Missing Discount",
X604="Flagged for Review"),
"Warning",
"Clean"))</f>
        <v>Clean</v>
      </c>
      <c r="AD604">
        <f t="shared" si="95"/>
        <v>0.15</v>
      </c>
      <c r="AE604">
        <f>N604*O604*(1-AD604)</f>
        <v>26192.223000000002</v>
      </c>
      <c r="AF604">
        <f>AE604-R604</f>
        <v>5396.6730000000025</v>
      </c>
      <c r="AG604" s="3">
        <f t="shared" si="96"/>
        <v>0.20604104508426041</v>
      </c>
      <c r="AH604" t="str">
        <f t="shared" si="97"/>
        <v>October</v>
      </c>
      <c r="AI604">
        <f t="shared" si="98"/>
        <v>2024</v>
      </c>
    </row>
    <row r="605" spans="1:35">
      <c r="A605" t="s">
        <v>1916</v>
      </c>
      <c r="B605" s="2">
        <v>45660</v>
      </c>
      <c r="C605" s="2">
        <v>45668</v>
      </c>
      <c r="D605" t="s">
        <v>349</v>
      </c>
      <c r="E605" t="s">
        <v>85</v>
      </c>
      <c r="F605" t="s">
        <v>104</v>
      </c>
      <c r="G605" t="s">
        <v>52</v>
      </c>
      <c r="H605" t="s">
        <v>159</v>
      </c>
      <c r="I605" t="s">
        <v>160</v>
      </c>
      <c r="J605" t="s">
        <v>88</v>
      </c>
      <c r="K605" t="s">
        <v>89</v>
      </c>
      <c r="L605" t="s">
        <v>1917</v>
      </c>
      <c r="M605" t="s">
        <v>64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125</v>
      </c>
      <c r="U605" t="s">
        <v>82</v>
      </c>
      <c r="V605" t="str">
        <f t="shared" si="89"/>
        <v>Valid</v>
      </c>
      <c r="W605">
        <f t="shared" si="90"/>
        <v>8</v>
      </c>
      <c r="Y605" t="str">
        <f t="shared" si="91"/>
        <v>OK</v>
      </c>
      <c r="Z605" t="str">
        <f t="shared" si="92"/>
        <v>OK</v>
      </c>
      <c r="AA605" t="str">
        <f t="shared" si="93"/>
        <v>OK</v>
      </c>
      <c r="AB605" t="str">
        <f t="shared" si="94"/>
        <v>Valid</v>
      </c>
      <c r="AC605" t="str">
        <f>IF(OR(AB605="Invalid Discount",V605="Invalid Shipping"),
"Invalid",
IF(OR(Y605="Missing Region",
Z605="Missing Ship Mode",
AA605="Missing Discount",
X605="Flagged for Review"),
"Warning",
"Clean"))</f>
        <v>Clean</v>
      </c>
      <c r="AD605">
        <f t="shared" si="95"/>
        <v>0.05</v>
      </c>
      <c r="AE605">
        <f>N605*O605*(1-AD605)</f>
        <v>19564.603999999999</v>
      </c>
      <c r="AF605">
        <f>AE605-R605</f>
        <v>8410.0139999999992</v>
      </c>
      <c r="AG605" s="3">
        <f t="shared" si="96"/>
        <v>0.42985863654587642</v>
      </c>
      <c r="AH605" t="str">
        <f t="shared" si="97"/>
        <v>January</v>
      </c>
      <c r="AI605">
        <f t="shared" si="98"/>
        <v>2025</v>
      </c>
    </row>
    <row r="606" spans="1:35">
      <c r="A606" t="s">
        <v>1918</v>
      </c>
      <c r="B606" s="2">
        <v>45693</v>
      </c>
      <c r="C606" s="2">
        <v>45694</v>
      </c>
      <c r="D606" t="s">
        <v>1919</v>
      </c>
      <c r="E606" t="s">
        <v>76</v>
      </c>
      <c r="F606" t="s">
        <v>38</v>
      </c>
      <c r="G606" t="s">
        <v>77</v>
      </c>
      <c r="H606" t="s">
        <v>86</v>
      </c>
      <c r="I606" t="s">
        <v>87</v>
      </c>
      <c r="J606" t="s">
        <v>42</v>
      </c>
      <c r="K606" t="s">
        <v>167</v>
      </c>
      <c r="L606" t="s">
        <v>1920</v>
      </c>
      <c r="M606" t="s">
        <v>58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46</v>
      </c>
      <c r="U606" t="s">
        <v>47</v>
      </c>
      <c r="V606" t="str">
        <f t="shared" si="89"/>
        <v>Valid</v>
      </c>
      <c r="W606">
        <f t="shared" si="90"/>
        <v>1</v>
      </c>
      <c r="Y606" t="str">
        <f t="shared" si="91"/>
        <v>OK</v>
      </c>
      <c r="Z606" t="str">
        <f t="shared" si="92"/>
        <v>OK</v>
      </c>
      <c r="AA606" t="str">
        <f t="shared" si="93"/>
        <v>OK</v>
      </c>
      <c r="AB606" t="str">
        <f t="shared" si="94"/>
        <v>Valid</v>
      </c>
      <c r="AC606" t="str">
        <f>IF(OR(AB606="Invalid Discount",V606="Invalid Shipping"),
"Invalid",
IF(OR(Y606="Missing Region",
Z606="Missing Ship Mode",
AA606="Missing Discount",
X606="Flagged for Review"),
"Warning",
"Clean"))</f>
        <v>Clean</v>
      </c>
      <c r="AD606">
        <f t="shared" si="95"/>
        <v>0</v>
      </c>
      <c r="AE606">
        <f>N606*O606*(1-AD606)</f>
        <v>3228.8999999999996</v>
      </c>
      <c r="AF606">
        <f>AE606-R606</f>
        <v>1375.6699999999996</v>
      </c>
      <c r="AG606" s="3">
        <f t="shared" si="96"/>
        <v>0.42604911889497965</v>
      </c>
      <c r="AH606" t="str">
        <f t="shared" si="97"/>
        <v>February</v>
      </c>
      <c r="AI606">
        <f t="shared" si="98"/>
        <v>2025</v>
      </c>
    </row>
    <row r="607" spans="1:35">
      <c r="A607" t="s">
        <v>1921</v>
      </c>
      <c r="B607" s="2">
        <v>45847</v>
      </c>
      <c r="C607" s="2">
        <v>45851</v>
      </c>
      <c r="D607" t="s">
        <v>1922</v>
      </c>
      <c r="E607" t="s">
        <v>279</v>
      </c>
      <c r="F607" t="s">
        <v>104</v>
      </c>
      <c r="G607" t="s">
        <v>77</v>
      </c>
      <c r="H607" t="s">
        <v>204</v>
      </c>
      <c r="I607" t="s">
        <v>205</v>
      </c>
      <c r="J607" t="s">
        <v>55</v>
      </c>
      <c r="K607" t="s">
        <v>71</v>
      </c>
      <c r="L607" t="s">
        <v>1923</v>
      </c>
      <c r="M607" t="s">
        <v>45</v>
      </c>
      <c r="N607">
        <v>5</v>
      </c>
      <c r="O607">
        <v>1680.01</v>
      </c>
      <c r="P607">
        <v>0.85</v>
      </c>
      <c r="Q607">
        <v>7560.04</v>
      </c>
      <c r="R607">
        <v>6448.05</v>
      </c>
      <c r="S607">
        <v>1111.99</v>
      </c>
      <c r="T607" t="s">
        <v>46</v>
      </c>
      <c r="U607" t="s">
        <v>82</v>
      </c>
      <c r="V607" t="str">
        <f t="shared" si="89"/>
        <v>Valid</v>
      </c>
      <c r="W607">
        <f t="shared" si="90"/>
        <v>4</v>
      </c>
      <c r="Y607" t="str">
        <f t="shared" si="91"/>
        <v>OK</v>
      </c>
      <c r="Z607" t="str">
        <f t="shared" si="92"/>
        <v>OK</v>
      </c>
      <c r="AA607" t="str">
        <f t="shared" si="93"/>
        <v>OK</v>
      </c>
      <c r="AB607" t="str">
        <f t="shared" si="94"/>
        <v>Valid</v>
      </c>
      <c r="AC607" t="str">
        <f>IF(OR(AB607="Invalid Discount",V607="Invalid Shipping"),
"Invalid",
IF(OR(Y607="Missing Region",
Z607="Missing Ship Mode",
AA607="Missing Discount",
X607="Flagged for Review"),
"Warning",
"Clean"))</f>
        <v>Clean</v>
      </c>
      <c r="AD607">
        <v>0.85</v>
      </c>
      <c r="AE607">
        <f>N607*O607*(1-AD607)</f>
        <v>1260.0075000000002</v>
      </c>
      <c r="AF607">
        <f>AE607-R607</f>
        <v>-5188.0424999999996</v>
      </c>
      <c r="AG607" s="3">
        <f t="shared" si="96"/>
        <v>-4.1174695388717915</v>
      </c>
      <c r="AH607" t="str">
        <f t="shared" si="97"/>
        <v>July</v>
      </c>
      <c r="AI607">
        <f t="shared" si="98"/>
        <v>2025</v>
      </c>
    </row>
    <row r="608" spans="1:35">
      <c r="A608" t="s">
        <v>1924</v>
      </c>
      <c r="B608" s="2">
        <v>45710</v>
      </c>
      <c r="C608" s="2">
        <v>45716</v>
      </c>
      <c r="D608" t="s">
        <v>1925</v>
      </c>
      <c r="E608" t="s">
        <v>132</v>
      </c>
      <c r="F608" t="s">
        <v>109</v>
      </c>
      <c r="G608" t="s">
        <v>77</v>
      </c>
      <c r="H608" t="s">
        <v>86</v>
      </c>
      <c r="I608" t="s">
        <v>87</v>
      </c>
      <c r="J608" t="s">
        <v>88</v>
      </c>
      <c r="K608" t="s">
        <v>94</v>
      </c>
      <c r="L608" t="s">
        <v>1926</v>
      </c>
      <c r="M608" t="s">
        <v>58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46</v>
      </c>
      <c r="U608" t="s">
        <v>47</v>
      </c>
      <c r="V608" t="str">
        <f t="shared" si="89"/>
        <v>Valid</v>
      </c>
      <c r="W608">
        <f t="shared" si="90"/>
        <v>6</v>
      </c>
      <c r="Y608" t="str">
        <f t="shared" si="91"/>
        <v>OK</v>
      </c>
      <c r="Z608" t="str">
        <f t="shared" si="92"/>
        <v>OK</v>
      </c>
      <c r="AA608" t="str">
        <f t="shared" si="93"/>
        <v>OK</v>
      </c>
      <c r="AB608" t="str">
        <f t="shared" si="94"/>
        <v>Valid</v>
      </c>
      <c r="AC608" t="str">
        <f>IF(OR(AB608="Invalid Discount",V608="Invalid Shipping"),
"Invalid",
IF(OR(Y608="Missing Region",
Z608="Missing Ship Mode",
AA608="Missing Discount",
X608="Flagged for Review"),
"Warning",
"Clean"))</f>
        <v>Clean</v>
      </c>
      <c r="AD608">
        <f t="shared" si="95"/>
        <v>0.25</v>
      </c>
      <c r="AE608">
        <f>N608*O608*(1-AD608)</f>
        <v>8754.3225000000002</v>
      </c>
      <c r="AF608">
        <f>AE608-R608</f>
        <v>2515.4225000000006</v>
      </c>
      <c r="AG608" s="3">
        <f t="shared" si="96"/>
        <v>0.28733491369549163</v>
      </c>
      <c r="AH608" t="str">
        <f t="shared" si="97"/>
        <v>February</v>
      </c>
      <c r="AI608">
        <f t="shared" si="98"/>
        <v>2025</v>
      </c>
    </row>
    <row r="609" spans="1:35">
      <c r="A609" t="s">
        <v>1927</v>
      </c>
      <c r="B609" s="2">
        <v>45704</v>
      </c>
      <c r="C609" s="2">
        <v>45710</v>
      </c>
      <c r="D609" t="s">
        <v>1928</v>
      </c>
      <c r="E609" t="s">
        <v>146</v>
      </c>
      <c r="F609" t="s">
        <v>109</v>
      </c>
      <c r="G609" t="s">
        <v>52</v>
      </c>
      <c r="H609" t="s">
        <v>159</v>
      </c>
      <c r="I609" t="s">
        <v>160</v>
      </c>
      <c r="J609" t="s">
        <v>42</v>
      </c>
      <c r="K609" t="s">
        <v>138</v>
      </c>
      <c r="L609" t="s">
        <v>1929</v>
      </c>
      <c r="M609" t="s">
        <v>58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46</v>
      </c>
      <c r="U609" t="s">
        <v>47</v>
      </c>
      <c r="V609" t="str">
        <f t="shared" si="89"/>
        <v>Valid</v>
      </c>
      <c r="W609">
        <f t="shared" si="90"/>
        <v>6</v>
      </c>
      <c r="Y609" t="str">
        <f t="shared" si="91"/>
        <v>OK</v>
      </c>
      <c r="Z609" t="str">
        <f t="shared" si="92"/>
        <v>OK</v>
      </c>
      <c r="AA609" t="str">
        <f t="shared" si="93"/>
        <v>OK</v>
      </c>
      <c r="AB609" t="str">
        <f t="shared" si="94"/>
        <v>Valid</v>
      </c>
      <c r="AC609" t="str">
        <f>IF(OR(AB609="Invalid Discount",V609="Invalid Shipping"),
"Invalid",
IF(OR(Y609="Missing Region",
Z609="Missing Ship Mode",
AA609="Missing Discount",
X609="Flagged for Review"),
"Warning",
"Clean"))</f>
        <v>Clean</v>
      </c>
      <c r="AD609">
        <f t="shared" si="95"/>
        <v>0.15</v>
      </c>
      <c r="AE609">
        <f>N609*O609*(1-AD609)</f>
        <v>4057.3474999999994</v>
      </c>
      <c r="AF609">
        <f>AE609-R609</f>
        <v>1195.3174999999992</v>
      </c>
      <c r="AG609" s="3">
        <f t="shared" si="96"/>
        <v>0.29460565061286947</v>
      </c>
      <c r="AH609" t="str">
        <f t="shared" si="97"/>
        <v>February</v>
      </c>
      <c r="AI609">
        <f t="shared" si="98"/>
        <v>2025</v>
      </c>
    </row>
    <row r="610" spans="1:35">
      <c r="A610" t="s">
        <v>1930</v>
      </c>
      <c r="B610" s="2">
        <v>45464</v>
      </c>
      <c r="C610" s="2">
        <v>45466</v>
      </c>
      <c r="D610" t="s">
        <v>1708</v>
      </c>
      <c r="E610" t="s">
        <v>37</v>
      </c>
      <c r="F610" t="s">
        <v>109</v>
      </c>
      <c r="G610" t="s">
        <v>77</v>
      </c>
      <c r="H610" t="s">
        <v>204</v>
      </c>
      <c r="I610" t="s">
        <v>205</v>
      </c>
      <c r="J610" t="s">
        <v>55</v>
      </c>
      <c r="K610" t="s">
        <v>71</v>
      </c>
      <c r="L610" t="s">
        <v>1931</v>
      </c>
      <c r="M610" t="s">
        <v>45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46</v>
      </c>
      <c r="U610" t="s">
        <v>47</v>
      </c>
      <c r="V610" t="str">
        <f t="shared" si="89"/>
        <v>Valid</v>
      </c>
      <c r="W610">
        <f t="shared" si="90"/>
        <v>2</v>
      </c>
      <c r="Y610" t="str">
        <f t="shared" si="91"/>
        <v>OK</v>
      </c>
      <c r="Z610" t="str">
        <f t="shared" si="92"/>
        <v>OK</v>
      </c>
      <c r="AA610" t="str">
        <f t="shared" si="93"/>
        <v>OK</v>
      </c>
      <c r="AB610" t="str">
        <f t="shared" si="94"/>
        <v>Valid</v>
      </c>
      <c r="AC610" t="str">
        <f>IF(OR(AB610="Invalid Discount",V610="Invalid Shipping"),
"Invalid",
IF(OR(Y610="Missing Region",
Z610="Missing Ship Mode",
AA610="Missing Discount",
X610="Flagged for Review"),
"Warning",
"Clean"))</f>
        <v>Clean</v>
      </c>
      <c r="AD610">
        <f t="shared" si="95"/>
        <v>0</v>
      </c>
      <c r="AE610">
        <f>N610*O610*(1-AD610)</f>
        <v>19383.75</v>
      </c>
      <c r="AF610">
        <f>AE610-R610</f>
        <v>7716.32</v>
      </c>
      <c r="AG610" s="3">
        <f t="shared" si="96"/>
        <v>0.39808189849745274</v>
      </c>
      <c r="AH610" t="str">
        <f t="shared" si="97"/>
        <v>June</v>
      </c>
      <c r="AI610">
        <f t="shared" si="98"/>
        <v>2024</v>
      </c>
    </row>
    <row r="611" spans="1:35">
      <c r="A611" t="s">
        <v>1932</v>
      </c>
      <c r="B611" s="2">
        <v>45665</v>
      </c>
      <c r="C611" s="2">
        <v>45669</v>
      </c>
      <c r="D611" t="s">
        <v>1933</v>
      </c>
      <c r="E611" t="s">
        <v>146</v>
      </c>
      <c r="F611" t="s">
        <v>109</v>
      </c>
      <c r="G611" t="s">
        <v>68</v>
      </c>
      <c r="H611" t="s">
        <v>189</v>
      </c>
      <c r="I611" t="s">
        <v>190</v>
      </c>
      <c r="J611" t="s">
        <v>55</v>
      </c>
      <c r="K611" t="s">
        <v>80</v>
      </c>
      <c r="L611" t="s">
        <v>1934</v>
      </c>
      <c r="M611" t="s">
        <v>73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46</v>
      </c>
      <c r="U611" t="s">
        <v>47</v>
      </c>
      <c r="V611" t="str">
        <f t="shared" si="89"/>
        <v>Valid</v>
      </c>
      <c r="W611">
        <f t="shared" si="90"/>
        <v>4</v>
      </c>
      <c r="Y611" t="str">
        <f t="shared" si="91"/>
        <v>OK</v>
      </c>
      <c r="Z611" t="str">
        <f t="shared" si="92"/>
        <v>OK</v>
      </c>
      <c r="AA611" t="str">
        <f t="shared" si="93"/>
        <v>OK</v>
      </c>
      <c r="AB611" t="str">
        <f t="shared" si="94"/>
        <v>Valid</v>
      </c>
      <c r="AC611" t="str">
        <f>IF(OR(AB611="Invalid Discount",V611="Invalid Shipping"),
"Invalid",
IF(OR(Y611="Missing Region",
Z611="Missing Ship Mode",
AA611="Missing Discount",
X611="Flagged for Review"),
"Warning",
"Clean"))</f>
        <v>Clean</v>
      </c>
      <c r="AD611">
        <f t="shared" si="95"/>
        <v>0</v>
      </c>
      <c r="AE611">
        <f>N611*O611*(1-AD611)</f>
        <v>30362.359999999997</v>
      </c>
      <c r="AF611">
        <f>AE611-R611</f>
        <v>5296.9599999999955</v>
      </c>
      <c r="AG611" s="3">
        <f t="shared" si="96"/>
        <v>0.17445811195177174</v>
      </c>
      <c r="AH611" t="str">
        <f t="shared" si="97"/>
        <v>January</v>
      </c>
      <c r="AI611">
        <f t="shared" si="98"/>
        <v>2025</v>
      </c>
    </row>
    <row r="612" spans="1:35">
      <c r="A612" t="s">
        <v>1935</v>
      </c>
      <c r="B612" s="2">
        <v>45432</v>
      </c>
      <c r="C612" s="2">
        <v>45432</v>
      </c>
      <c r="D612" t="s">
        <v>1380</v>
      </c>
      <c r="E612" t="s">
        <v>37</v>
      </c>
      <c r="F612" t="s">
        <v>109</v>
      </c>
      <c r="G612" t="s">
        <v>77</v>
      </c>
      <c r="H612" t="s">
        <v>86</v>
      </c>
      <c r="I612" t="s">
        <v>87</v>
      </c>
      <c r="J612" t="s">
        <v>55</v>
      </c>
      <c r="K612" t="s">
        <v>80</v>
      </c>
      <c r="L612" t="s">
        <v>1936</v>
      </c>
      <c r="M612" t="s">
        <v>73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46</v>
      </c>
      <c r="U612" t="s">
        <v>47</v>
      </c>
      <c r="V612" t="str">
        <f t="shared" si="89"/>
        <v>Valid</v>
      </c>
      <c r="W612">
        <f t="shared" si="90"/>
        <v>0</v>
      </c>
      <c r="Y612" t="str">
        <f t="shared" si="91"/>
        <v>OK</v>
      </c>
      <c r="Z612" t="str">
        <f t="shared" si="92"/>
        <v>OK</v>
      </c>
      <c r="AA612" t="str">
        <f t="shared" si="93"/>
        <v>OK</v>
      </c>
      <c r="AB612" t="str">
        <f t="shared" si="94"/>
        <v>Valid</v>
      </c>
      <c r="AC612" t="str">
        <f>IF(OR(AB612="Invalid Discount",V612="Invalid Shipping"),
"Invalid",
IF(OR(Y612="Missing Region",
Z612="Missing Ship Mode",
AA612="Missing Discount",
X612="Flagged for Review"),
"Warning",
"Clean"))</f>
        <v>Clean</v>
      </c>
      <c r="AD612">
        <f t="shared" si="95"/>
        <v>0.1</v>
      </c>
      <c r="AE612">
        <f>N612*O612*(1-AD612)</f>
        <v>2729.6549999999997</v>
      </c>
      <c r="AF612">
        <f>AE612-R612</f>
        <v>1014.2949999999998</v>
      </c>
      <c r="AG612" s="3">
        <f t="shared" si="96"/>
        <v>0.37158358840219735</v>
      </c>
      <c r="AH612" t="str">
        <f t="shared" si="97"/>
        <v>May</v>
      </c>
      <c r="AI612">
        <f t="shared" si="98"/>
        <v>2024</v>
      </c>
    </row>
    <row r="613" spans="1:35">
      <c r="A613" t="s">
        <v>1937</v>
      </c>
      <c r="B613" s="2">
        <v>45846</v>
      </c>
      <c r="C613" s="2">
        <v>45853</v>
      </c>
      <c r="D613" t="s">
        <v>1938</v>
      </c>
      <c r="E613" t="s">
        <v>76</v>
      </c>
      <c r="F613" t="s">
        <v>51</v>
      </c>
      <c r="G613" t="s">
        <v>39</v>
      </c>
      <c r="H613" t="s">
        <v>40</v>
      </c>
      <c r="I613" t="s">
        <v>41</v>
      </c>
      <c r="J613" t="s">
        <v>42</v>
      </c>
      <c r="K613" t="s">
        <v>167</v>
      </c>
      <c r="L613" t="s">
        <v>1939</v>
      </c>
      <c r="M613" t="s">
        <v>58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46</v>
      </c>
      <c r="U613" t="s">
        <v>47</v>
      </c>
      <c r="V613" t="str">
        <f t="shared" si="89"/>
        <v>Valid</v>
      </c>
      <c r="W613">
        <f t="shared" si="90"/>
        <v>7</v>
      </c>
      <c r="Y613" t="str">
        <f t="shared" si="91"/>
        <v>OK</v>
      </c>
      <c r="Z613" t="str">
        <f t="shared" si="92"/>
        <v>OK</v>
      </c>
      <c r="AA613" t="str">
        <f t="shared" si="93"/>
        <v>OK</v>
      </c>
      <c r="AB613" t="str">
        <f t="shared" si="94"/>
        <v>Valid</v>
      </c>
      <c r="AC613" t="str">
        <f>IF(OR(AB613="Invalid Discount",V613="Invalid Shipping"),
"Invalid",
IF(OR(Y613="Missing Region",
Z613="Missing Ship Mode",
AA613="Missing Discount",
X613="Flagged for Review"),
"Warning",
"Clean"))</f>
        <v>Clean</v>
      </c>
      <c r="AD613">
        <f t="shared" si="95"/>
        <v>0.1</v>
      </c>
      <c r="AE613">
        <f>N613*O613*(1-AD613)</f>
        <v>4718.0159999999996</v>
      </c>
      <c r="AF613">
        <f>AE613-R613</f>
        <v>809.7859999999996</v>
      </c>
      <c r="AG613" s="3">
        <f t="shared" si="96"/>
        <v>0.17163697622051297</v>
      </c>
      <c r="AH613" t="str">
        <f t="shared" si="97"/>
        <v>July</v>
      </c>
      <c r="AI613">
        <f t="shared" si="98"/>
        <v>2025</v>
      </c>
    </row>
    <row r="614" spans="1:35">
      <c r="A614" t="s">
        <v>1940</v>
      </c>
      <c r="B614" s="2">
        <v>45753</v>
      </c>
      <c r="C614" s="2">
        <v>45760</v>
      </c>
      <c r="D614" t="s">
        <v>1941</v>
      </c>
      <c r="E614" t="s">
        <v>103</v>
      </c>
      <c r="F614" t="s">
        <v>38</v>
      </c>
      <c r="G614" t="s">
        <v>219</v>
      </c>
      <c r="H614" t="s">
        <v>53</v>
      </c>
      <c r="I614" t="s">
        <v>54</v>
      </c>
      <c r="J614" t="s">
        <v>88</v>
      </c>
      <c r="K614" t="s">
        <v>185</v>
      </c>
      <c r="L614" t="s">
        <v>1942</v>
      </c>
      <c r="M614" t="s">
        <v>73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46</v>
      </c>
      <c r="U614" t="s">
        <v>47</v>
      </c>
      <c r="V614" t="str">
        <f t="shared" si="89"/>
        <v>Valid</v>
      </c>
      <c r="W614">
        <f t="shared" si="90"/>
        <v>7</v>
      </c>
      <c r="Y614" t="str">
        <f t="shared" si="91"/>
        <v>Missing Region</v>
      </c>
      <c r="Z614" t="str">
        <f t="shared" si="92"/>
        <v>OK</v>
      </c>
      <c r="AA614" t="str">
        <f t="shared" si="93"/>
        <v>OK</v>
      </c>
      <c r="AB614" t="str">
        <f t="shared" si="94"/>
        <v>Valid</v>
      </c>
      <c r="AC614" t="str">
        <f>IF(OR(AB614="Invalid Discount",V614="Invalid Shipping"),
"Invalid",
IF(OR(Y614="Missing Region",
Z614="Missing Ship Mode",
AA614="Missing Discount",
X614="Flagged for Review"),
"Warning",
"Clean"))</f>
        <v>Warning</v>
      </c>
      <c r="AD614">
        <f t="shared" si="95"/>
        <v>0</v>
      </c>
      <c r="AE614">
        <f>N614*O614*(1-AD614)</f>
        <v>3844.01</v>
      </c>
      <c r="AF614">
        <f>AE614-R614</f>
        <v>1648.2200000000003</v>
      </c>
      <c r="AG614" s="3">
        <f t="shared" si="96"/>
        <v>0.42877619985379856</v>
      </c>
      <c r="AH614" t="str">
        <f t="shared" si="97"/>
        <v>April</v>
      </c>
      <c r="AI614">
        <f t="shared" si="98"/>
        <v>2025</v>
      </c>
    </row>
    <row r="615" spans="1:35">
      <c r="A615" t="s">
        <v>1943</v>
      </c>
      <c r="B615" s="2">
        <v>45570</v>
      </c>
      <c r="C615" s="2">
        <v>45575</v>
      </c>
      <c r="D615" t="s">
        <v>1944</v>
      </c>
      <c r="E615" t="s">
        <v>176</v>
      </c>
      <c r="F615" t="s">
        <v>109</v>
      </c>
      <c r="G615" t="s">
        <v>77</v>
      </c>
      <c r="H615" t="s">
        <v>194</v>
      </c>
      <c r="I615" t="s">
        <v>195</v>
      </c>
      <c r="J615" t="s">
        <v>88</v>
      </c>
      <c r="K615" t="s">
        <v>289</v>
      </c>
      <c r="L615" t="s">
        <v>1945</v>
      </c>
      <c r="M615" t="s">
        <v>58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46</v>
      </c>
      <c r="U615" t="s">
        <v>47</v>
      </c>
      <c r="V615" t="str">
        <f t="shared" si="89"/>
        <v>Valid</v>
      </c>
      <c r="W615">
        <f t="shared" si="90"/>
        <v>5</v>
      </c>
      <c r="Y615" t="str">
        <f t="shared" si="91"/>
        <v>OK</v>
      </c>
      <c r="Z615" t="str">
        <f t="shared" si="92"/>
        <v>OK</v>
      </c>
      <c r="AA615" t="str">
        <f t="shared" si="93"/>
        <v>OK</v>
      </c>
      <c r="AB615" t="str">
        <f t="shared" si="94"/>
        <v>Valid</v>
      </c>
      <c r="AC615" t="str">
        <f>IF(OR(AB615="Invalid Discount",V615="Invalid Shipping"),
"Invalid",
IF(OR(Y615="Missing Region",
Z615="Missing Ship Mode",
AA615="Missing Discount",
X615="Flagged for Review"),
"Warning",
"Clean"))</f>
        <v>Clean</v>
      </c>
      <c r="AD615">
        <f t="shared" si="95"/>
        <v>0.25</v>
      </c>
      <c r="AE615">
        <f>N615*O615*(1-AD615)</f>
        <v>22688.775000000001</v>
      </c>
      <c r="AF615">
        <f>AE615-R615</f>
        <v>8016.3650000000016</v>
      </c>
      <c r="AG615" s="3">
        <f t="shared" si="96"/>
        <v>0.35331854628555315</v>
      </c>
      <c r="AH615" t="str">
        <f t="shared" si="97"/>
        <v>October</v>
      </c>
      <c r="AI615">
        <f t="shared" si="98"/>
        <v>2024</v>
      </c>
    </row>
    <row r="616" spans="1:35">
      <c r="A616" t="s">
        <v>1946</v>
      </c>
      <c r="B616" s="2">
        <v>45333</v>
      </c>
      <c r="C616" s="2">
        <v>45341</v>
      </c>
      <c r="D616" t="s">
        <v>1947</v>
      </c>
      <c r="E616" t="s">
        <v>76</v>
      </c>
      <c r="F616" t="s">
        <v>109</v>
      </c>
      <c r="G616" t="s">
        <v>68</v>
      </c>
      <c r="H616" t="s">
        <v>69</v>
      </c>
      <c r="I616" t="s">
        <v>70</v>
      </c>
      <c r="J616" t="s">
        <v>55</v>
      </c>
      <c r="K616" t="s">
        <v>80</v>
      </c>
      <c r="L616" t="s">
        <v>1948</v>
      </c>
      <c r="M616" t="s">
        <v>73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116</v>
      </c>
      <c r="U616" t="s">
        <v>82</v>
      </c>
      <c r="V616" t="str">
        <f t="shared" si="89"/>
        <v>Valid</v>
      </c>
      <c r="W616">
        <f t="shared" si="90"/>
        <v>8</v>
      </c>
      <c r="Y616" t="str">
        <f t="shared" si="91"/>
        <v>OK</v>
      </c>
      <c r="Z616" t="str">
        <f t="shared" si="92"/>
        <v>OK</v>
      </c>
      <c r="AA616" t="str">
        <f t="shared" si="93"/>
        <v>OK</v>
      </c>
      <c r="AB616" t="str">
        <f t="shared" si="94"/>
        <v>Valid</v>
      </c>
      <c r="AC616" t="str">
        <f>IF(OR(AB616="Invalid Discount",V616="Invalid Shipping"),
"Invalid",
IF(OR(Y616="Missing Region",
Z616="Missing Ship Mode",
AA616="Missing Discount",
X616="Flagged for Review"),
"Warning",
"Clean"))</f>
        <v>Clean</v>
      </c>
      <c r="AD616">
        <f t="shared" si="95"/>
        <v>0.25</v>
      </c>
      <c r="AE616">
        <f>N616*O616*(1-AD616)</f>
        <v>20389.920000000002</v>
      </c>
      <c r="AF616">
        <f>AE616-R616</f>
        <v>3728.84</v>
      </c>
      <c r="AG616" s="3">
        <f t="shared" si="96"/>
        <v>0.18287663708342161</v>
      </c>
      <c r="AH616" t="str">
        <f t="shared" si="97"/>
        <v>February</v>
      </c>
      <c r="AI616">
        <f t="shared" si="98"/>
        <v>2024</v>
      </c>
    </row>
    <row r="617" spans="1:35">
      <c r="A617" t="s">
        <v>1949</v>
      </c>
      <c r="B617" s="2">
        <v>45569</v>
      </c>
      <c r="C617" s="2">
        <v>45572</v>
      </c>
      <c r="D617" t="s">
        <v>1950</v>
      </c>
      <c r="E617" t="s">
        <v>132</v>
      </c>
      <c r="F617" t="s">
        <v>104</v>
      </c>
      <c r="G617" t="s">
        <v>68</v>
      </c>
      <c r="H617" t="s">
        <v>199</v>
      </c>
      <c r="I617" t="s">
        <v>200</v>
      </c>
      <c r="J617" t="s">
        <v>42</v>
      </c>
      <c r="K617" t="s">
        <v>62</v>
      </c>
      <c r="L617" t="s">
        <v>1951</v>
      </c>
      <c r="M617" t="s">
        <v>45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46</v>
      </c>
      <c r="U617" t="s">
        <v>47</v>
      </c>
      <c r="V617" t="str">
        <f t="shared" si="89"/>
        <v>Valid</v>
      </c>
      <c r="W617">
        <f t="shared" si="90"/>
        <v>3</v>
      </c>
      <c r="Y617" t="str">
        <f t="shared" si="91"/>
        <v>OK</v>
      </c>
      <c r="Z617" t="str">
        <f t="shared" si="92"/>
        <v>OK</v>
      </c>
      <c r="AA617" t="str">
        <f t="shared" si="93"/>
        <v>OK</v>
      </c>
      <c r="AB617" t="str">
        <f t="shared" si="94"/>
        <v>Valid</v>
      </c>
      <c r="AC617" t="str">
        <f>IF(OR(AB617="Invalid Discount",V617="Invalid Shipping"),
"Invalid",
IF(OR(Y617="Missing Region",
Z617="Missing Ship Mode",
AA617="Missing Discount",
X617="Flagged for Review"),
"Warning",
"Clean"))</f>
        <v>Clean</v>
      </c>
      <c r="AD617">
        <f t="shared" si="95"/>
        <v>0.1</v>
      </c>
      <c r="AE617">
        <f>N617*O617*(1-AD617)</f>
        <v>5659.884</v>
      </c>
      <c r="AF617">
        <f>AE617-R617</f>
        <v>1322.0940000000001</v>
      </c>
      <c r="AG617" s="3">
        <f t="shared" si="96"/>
        <v>0.23359029973052453</v>
      </c>
      <c r="AH617" t="str">
        <f t="shared" si="97"/>
        <v>October</v>
      </c>
      <c r="AI617">
        <f t="shared" si="98"/>
        <v>2024</v>
      </c>
    </row>
    <row r="618" spans="1:35">
      <c r="A618" t="s">
        <v>1952</v>
      </c>
      <c r="B618" s="2">
        <v>45520</v>
      </c>
      <c r="C618" s="2">
        <v>45523</v>
      </c>
      <c r="D618" t="s">
        <v>1953</v>
      </c>
      <c r="E618" t="s">
        <v>279</v>
      </c>
      <c r="F618" t="s">
        <v>38</v>
      </c>
      <c r="G618" t="s">
        <v>68</v>
      </c>
      <c r="H618" t="s">
        <v>69</v>
      </c>
      <c r="I618" t="s">
        <v>70</v>
      </c>
      <c r="J618" t="s">
        <v>42</v>
      </c>
      <c r="K618" t="s">
        <v>43</v>
      </c>
      <c r="L618" t="s">
        <v>1954</v>
      </c>
      <c r="M618" t="s">
        <v>73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46</v>
      </c>
      <c r="U618" t="s">
        <v>47</v>
      </c>
      <c r="V618" t="str">
        <f t="shared" si="89"/>
        <v>Valid</v>
      </c>
      <c r="W618">
        <f t="shared" si="90"/>
        <v>3</v>
      </c>
      <c r="Y618" t="str">
        <f t="shared" si="91"/>
        <v>OK</v>
      </c>
      <c r="Z618" t="str">
        <f t="shared" si="92"/>
        <v>OK</v>
      </c>
      <c r="AA618" t="str">
        <f t="shared" si="93"/>
        <v>OK</v>
      </c>
      <c r="AB618" t="str">
        <f t="shared" si="94"/>
        <v>Valid</v>
      </c>
      <c r="AC618" t="str">
        <f>IF(OR(AB618="Invalid Discount",V618="Invalid Shipping"),
"Invalid",
IF(OR(Y618="Missing Region",
Z618="Missing Ship Mode",
AA618="Missing Discount",
X618="Flagged for Review"),
"Warning",
"Clean"))</f>
        <v>Clean</v>
      </c>
      <c r="AD618">
        <f t="shared" si="95"/>
        <v>0.2</v>
      </c>
      <c r="AE618">
        <f>N618*O618*(1-AD618)</f>
        <v>18842.640000000003</v>
      </c>
      <c r="AF618">
        <f>AE618-R618</f>
        <v>7002.0600000000031</v>
      </c>
      <c r="AG618" s="3">
        <f t="shared" si="96"/>
        <v>0.37160716332743193</v>
      </c>
      <c r="AH618" t="str">
        <f t="shared" si="97"/>
        <v>August</v>
      </c>
      <c r="AI618">
        <f t="shared" si="98"/>
        <v>2024</v>
      </c>
    </row>
    <row r="619" spans="1:35">
      <c r="A619" t="s">
        <v>1955</v>
      </c>
      <c r="B619" s="2">
        <v>45564</v>
      </c>
      <c r="C619" s="2">
        <v>45565</v>
      </c>
      <c r="D619" t="s">
        <v>1956</v>
      </c>
      <c r="E619" t="s">
        <v>50</v>
      </c>
      <c r="F619" t="s">
        <v>109</v>
      </c>
      <c r="G619" t="s">
        <v>68</v>
      </c>
      <c r="H619" t="s">
        <v>69</v>
      </c>
      <c r="I619" t="s">
        <v>70</v>
      </c>
      <c r="J619" t="s">
        <v>88</v>
      </c>
      <c r="K619" t="s">
        <v>185</v>
      </c>
      <c r="L619" t="s">
        <v>1957</v>
      </c>
      <c r="M619" t="s">
        <v>73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46</v>
      </c>
      <c r="U619" t="s">
        <v>47</v>
      </c>
      <c r="V619" t="str">
        <f t="shared" si="89"/>
        <v>Valid</v>
      </c>
      <c r="W619">
        <f t="shared" si="90"/>
        <v>1</v>
      </c>
      <c r="Y619" t="str">
        <f t="shared" si="91"/>
        <v>OK</v>
      </c>
      <c r="Z619" t="str">
        <f t="shared" si="92"/>
        <v>OK</v>
      </c>
      <c r="AA619" t="str">
        <f t="shared" si="93"/>
        <v>OK</v>
      </c>
      <c r="AB619" t="str">
        <f t="shared" si="94"/>
        <v>Valid</v>
      </c>
      <c r="AC619" t="str">
        <f>IF(OR(AB619="Invalid Discount",V619="Invalid Shipping"),
"Invalid",
IF(OR(Y619="Missing Region",
Z619="Missing Ship Mode",
AA619="Missing Discount",
X619="Flagged for Review"),
"Warning",
"Clean"))</f>
        <v>Clean</v>
      </c>
      <c r="AD619">
        <f t="shared" si="95"/>
        <v>0</v>
      </c>
      <c r="AE619">
        <f>N619*O619*(1-AD619)</f>
        <v>24677.19</v>
      </c>
      <c r="AF619">
        <f>AE619-R619</f>
        <v>4326.34</v>
      </c>
      <c r="AG619" s="3">
        <f t="shared" si="96"/>
        <v>0.17531736798233513</v>
      </c>
      <c r="AH619" t="str">
        <f t="shared" si="97"/>
        <v>September</v>
      </c>
      <c r="AI619">
        <f t="shared" si="98"/>
        <v>2024</v>
      </c>
    </row>
    <row r="620" spans="1:35">
      <c r="A620" t="s">
        <v>1958</v>
      </c>
      <c r="B620" s="2">
        <v>45496</v>
      </c>
      <c r="C620" s="2">
        <v>45503</v>
      </c>
      <c r="D620" t="s">
        <v>1959</v>
      </c>
      <c r="E620" t="s">
        <v>279</v>
      </c>
      <c r="F620" t="s">
        <v>104</v>
      </c>
      <c r="G620" t="s">
        <v>39</v>
      </c>
      <c r="H620" t="s">
        <v>40</v>
      </c>
      <c r="I620" t="s">
        <v>41</v>
      </c>
      <c r="J620" t="s">
        <v>55</v>
      </c>
      <c r="K620" t="s">
        <v>56</v>
      </c>
      <c r="L620" t="s">
        <v>1960</v>
      </c>
      <c r="M620" t="s">
        <v>58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169</v>
      </c>
      <c r="U620" t="s">
        <v>82</v>
      </c>
      <c r="V620" t="str">
        <f t="shared" si="89"/>
        <v>Valid</v>
      </c>
      <c r="W620">
        <f t="shared" si="90"/>
        <v>7</v>
      </c>
      <c r="Y620" t="str">
        <f t="shared" si="91"/>
        <v>OK</v>
      </c>
      <c r="Z620" t="str">
        <f t="shared" si="92"/>
        <v>OK</v>
      </c>
      <c r="AA620" t="str">
        <f t="shared" si="93"/>
        <v>OK</v>
      </c>
      <c r="AB620" t="str">
        <f t="shared" si="94"/>
        <v>Valid</v>
      </c>
      <c r="AC620" t="str">
        <f>IF(OR(AB620="Invalid Discount",V620="Invalid Shipping"),
"Invalid",
IF(OR(Y620="Missing Region",
Z620="Missing Ship Mode",
AA620="Missing Discount",
X620="Flagged for Review"),
"Warning",
"Clean"))</f>
        <v>Clean</v>
      </c>
      <c r="AD620">
        <f t="shared" si="95"/>
        <v>0.25</v>
      </c>
      <c r="AE620">
        <f>N620*O620*(1-AD620)</f>
        <v>12623.242499999998</v>
      </c>
      <c r="AF620">
        <f>AE620-R620</f>
        <v>2082.4424999999992</v>
      </c>
      <c r="AG620" s="3">
        <f t="shared" si="96"/>
        <v>0.16496890557239943</v>
      </c>
      <c r="AH620" t="str">
        <f t="shared" si="97"/>
        <v>July</v>
      </c>
      <c r="AI620">
        <f t="shared" si="98"/>
        <v>2024</v>
      </c>
    </row>
    <row r="621" spans="1:35">
      <c r="A621" t="s">
        <v>1961</v>
      </c>
      <c r="B621" s="2">
        <v>45618</v>
      </c>
      <c r="C621" s="2">
        <v>45623</v>
      </c>
      <c r="D621" t="s">
        <v>1962</v>
      </c>
      <c r="E621" t="s">
        <v>128</v>
      </c>
      <c r="F621" t="s">
        <v>104</v>
      </c>
      <c r="G621" t="s">
        <v>68</v>
      </c>
      <c r="H621" t="s">
        <v>262</v>
      </c>
      <c r="I621" t="s">
        <v>263</v>
      </c>
      <c r="J621" t="s">
        <v>42</v>
      </c>
      <c r="K621" t="s">
        <v>167</v>
      </c>
      <c r="L621" t="s">
        <v>1963</v>
      </c>
      <c r="M621" t="s">
        <v>64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116</v>
      </c>
      <c r="U621" t="s">
        <v>117</v>
      </c>
      <c r="V621" t="str">
        <f t="shared" si="89"/>
        <v>Valid</v>
      </c>
      <c r="W621">
        <f t="shared" si="90"/>
        <v>5</v>
      </c>
      <c r="Y621" t="str">
        <f t="shared" si="91"/>
        <v>OK</v>
      </c>
      <c r="Z621" t="str">
        <f t="shared" si="92"/>
        <v>OK</v>
      </c>
      <c r="AA621" t="str">
        <f t="shared" si="93"/>
        <v>OK</v>
      </c>
      <c r="AB621" t="str">
        <f t="shared" si="94"/>
        <v>Valid</v>
      </c>
      <c r="AC621" t="str">
        <f>IF(OR(AB621="Invalid Discount",V621="Invalid Shipping"),
"Invalid",
IF(OR(Y621="Missing Region",
Z621="Missing Ship Mode",
AA621="Missing Discount",
X621="Flagged for Review"),
"Warning",
"Clean"))</f>
        <v>Clean</v>
      </c>
      <c r="AD621">
        <f t="shared" si="95"/>
        <v>0.2</v>
      </c>
      <c r="AE621">
        <f>N621*O621*(1-AD621)</f>
        <v>3401.0080000000003</v>
      </c>
      <c r="AF621">
        <f>AE621-R621</f>
        <v>483.4680000000003</v>
      </c>
      <c r="AG621" s="3">
        <f t="shared" si="96"/>
        <v>0.14215432601158254</v>
      </c>
      <c r="AH621" t="str">
        <f t="shared" si="97"/>
        <v>November</v>
      </c>
      <c r="AI621">
        <f t="shared" si="98"/>
        <v>2024</v>
      </c>
    </row>
    <row r="622" spans="1:35">
      <c r="A622" t="s">
        <v>1964</v>
      </c>
      <c r="B622" s="2">
        <v>45522</v>
      </c>
      <c r="C622" s="2">
        <v>45525</v>
      </c>
      <c r="D622" t="s">
        <v>1965</v>
      </c>
      <c r="E622" t="s">
        <v>85</v>
      </c>
      <c r="F622" t="s">
        <v>38</v>
      </c>
      <c r="G622" t="s">
        <v>39</v>
      </c>
      <c r="H622" t="s">
        <v>150</v>
      </c>
      <c r="I622" t="s">
        <v>151</v>
      </c>
      <c r="J622" t="s">
        <v>88</v>
      </c>
      <c r="K622" t="s">
        <v>289</v>
      </c>
      <c r="L622" t="s">
        <v>1966</v>
      </c>
      <c r="M622" t="s">
        <v>73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46</v>
      </c>
      <c r="U622" t="s">
        <v>47</v>
      </c>
      <c r="V622" t="str">
        <f t="shared" si="89"/>
        <v>Valid</v>
      </c>
      <c r="W622">
        <f t="shared" si="90"/>
        <v>3</v>
      </c>
      <c r="Y622" t="str">
        <f t="shared" si="91"/>
        <v>OK</v>
      </c>
      <c r="Z622" t="str">
        <f t="shared" si="92"/>
        <v>OK</v>
      </c>
      <c r="AA622" t="str">
        <f t="shared" si="93"/>
        <v>OK</v>
      </c>
      <c r="AB622" t="str">
        <f t="shared" si="94"/>
        <v>Valid</v>
      </c>
      <c r="AC622" t="str">
        <f>IF(OR(AB622="Invalid Discount",V622="Invalid Shipping"),
"Invalid",
IF(OR(Y622="Missing Region",
Z622="Missing Ship Mode",
AA622="Missing Discount",
X622="Flagged for Review"),
"Warning",
"Clean"))</f>
        <v>Clean</v>
      </c>
      <c r="AD622">
        <f t="shared" si="95"/>
        <v>0</v>
      </c>
      <c r="AE622">
        <f>N622*O622*(1-AD622)</f>
        <v>6609.06</v>
      </c>
      <c r="AF622">
        <f>AE622-R622</f>
        <v>1662.2800000000007</v>
      </c>
      <c r="AG622" s="3">
        <f t="shared" si="96"/>
        <v>0.25151534408826681</v>
      </c>
      <c r="AH622" t="str">
        <f t="shared" si="97"/>
        <v>August</v>
      </c>
      <c r="AI622">
        <f t="shared" si="98"/>
        <v>2024</v>
      </c>
    </row>
    <row r="623" spans="1:35">
      <c r="A623" t="s">
        <v>1967</v>
      </c>
      <c r="B623" s="2">
        <v>45624</v>
      </c>
      <c r="C623" s="2">
        <v>45632</v>
      </c>
      <c r="D623" t="s">
        <v>1968</v>
      </c>
      <c r="E623" t="s">
        <v>103</v>
      </c>
      <c r="F623" t="s">
        <v>38</v>
      </c>
      <c r="G623" t="s">
        <v>77</v>
      </c>
      <c r="H623" t="s">
        <v>78</v>
      </c>
      <c r="I623" t="s">
        <v>79</v>
      </c>
      <c r="J623" t="s">
        <v>55</v>
      </c>
      <c r="K623" t="s">
        <v>80</v>
      </c>
      <c r="L623" t="s">
        <v>1969</v>
      </c>
      <c r="M623" t="s">
        <v>58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46</v>
      </c>
      <c r="U623" t="s">
        <v>47</v>
      </c>
      <c r="V623" t="str">
        <f t="shared" si="89"/>
        <v>Valid</v>
      </c>
      <c r="W623">
        <f t="shared" si="90"/>
        <v>8</v>
      </c>
      <c r="Y623" t="str">
        <f t="shared" si="91"/>
        <v>OK</v>
      </c>
      <c r="Z623" t="str">
        <f t="shared" si="92"/>
        <v>OK</v>
      </c>
      <c r="AA623" t="str">
        <f t="shared" si="93"/>
        <v>Missing Discount</v>
      </c>
      <c r="AB623" t="str">
        <f t="shared" si="94"/>
        <v>Valid</v>
      </c>
      <c r="AC623" t="str">
        <f>IF(OR(AB623="Invalid Discount",V623="Invalid Shipping"),
"Invalid",
IF(OR(Y623="Missing Region",
Z623="Missing Ship Mode",
AA623="Missing Discount",
X623="Flagged for Review"),
"Warning",
"Clean"))</f>
        <v>Warning</v>
      </c>
      <c r="AD623">
        <f t="shared" si="95"/>
        <v>0</v>
      </c>
      <c r="AE623">
        <f>N623*O623*(1-AD623)</f>
        <v>5464.2</v>
      </c>
      <c r="AF623">
        <f>AE623-R623</f>
        <v>2146.1099999999997</v>
      </c>
      <c r="AG623" s="3">
        <f t="shared" si="96"/>
        <v>0.39275831777753373</v>
      </c>
      <c r="AH623" t="str">
        <f t="shared" si="97"/>
        <v>November</v>
      </c>
      <c r="AI623">
        <f t="shared" si="98"/>
        <v>2024</v>
      </c>
    </row>
    <row r="624" spans="1:35">
      <c r="A624" t="s">
        <v>1970</v>
      </c>
      <c r="B624" s="2">
        <v>45686</v>
      </c>
      <c r="C624" s="2">
        <v>45694</v>
      </c>
      <c r="D624" t="s">
        <v>1971</v>
      </c>
      <c r="E624" t="s">
        <v>85</v>
      </c>
      <c r="F624" t="s">
        <v>38</v>
      </c>
      <c r="G624" t="s">
        <v>52</v>
      </c>
      <c r="H624" t="s">
        <v>159</v>
      </c>
      <c r="I624" t="s">
        <v>160</v>
      </c>
      <c r="J624" t="s">
        <v>42</v>
      </c>
      <c r="K624" t="s">
        <v>138</v>
      </c>
      <c r="L624" t="s">
        <v>1972</v>
      </c>
      <c r="M624" t="s">
        <v>73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46</v>
      </c>
      <c r="U624" t="s">
        <v>47</v>
      </c>
      <c r="V624" t="str">
        <f t="shared" si="89"/>
        <v>Valid</v>
      </c>
      <c r="W624">
        <f t="shared" si="90"/>
        <v>8</v>
      </c>
      <c r="Y624" t="str">
        <f t="shared" si="91"/>
        <v>OK</v>
      </c>
      <c r="Z624" t="str">
        <f t="shared" si="92"/>
        <v>OK</v>
      </c>
      <c r="AA624" t="str">
        <f t="shared" si="93"/>
        <v>OK</v>
      </c>
      <c r="AB624" t="str">
        <f t="shared" si="94"/>
        <v>Valid</v>
      </c>
      <c r="AC624" t="str">
        <f>IF(OR(AB624="Invalid Discount",V624="Invalid Shipping"),
"Invalid",
IF(OR(Y624="Missing Region",
Z624="Missing Ship Mode",
AA624="Missing Discount",
X624="Flagged for Review"),
"Warning",
"Clean"))</f>
        <v>Clean</v>
      </c>
      <c r="AD624">
        <f t="shared" si="95"/>
        <v>0.05</v>
      </c>
      <c r="AE624">
        <f>N624*O624*(1-AD624)</f>
        <v>10484.238000000001</v>
      </c>
      <c r="AF624">
        <f>AE624-R624</f>
        <v>3804.0880000000016</v>
      </c>
      <c r="AG624" s="3">
        <f t="shared" si="96"/>
        <v>0.36283876806306775</v>
      </c>
      <c r="AH624" t="str">
        <f t="shared" si="97"/>
        <v>January</v>
      </c>
      <c r="AI624">
        <f t="shared" si="98"/>
        <v>2025</v>
      </c>
    </row>
    <row r="625" spans="1:35">
      <c r="A625" t="s">
        <v>1973</v>
      </c>
      <c r="B625" s="2">
        <v>45512</v>
      </c>
      <c r="C625" s="2">
        <v>45518</v>
      </c>
      <c r="D625" t="s">
        <v>1974</v>
      </c>
      <c r="E625" t="s">
        <v>85</v>
      </c>
      <c r="F625" t="s">
        <v>109</v>
      </c>
      <c r="G625" t="s">
        <v>39</v>
      </c>
      <c r="H625" t="s">
        <v>136</v>
      </c>
      <c r="I625" t="s">
        <v>137</v>
      </c>
      <c r="J625" t="s">
        <v>42</v>
      </c>
      <c r="K625" t="s">
        <v>138</v>
      </c>
      <c r="L625" t="s">
        <v>1975</v>
      </c>
      <c r="M625" t="s">
        <v>45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46</v>
      </c>
      <c r="U625" t="s">
        <v>47</v>
      </c>
      <c r="V625" t="str">
        <f t="shared" si="89"/>
        <v>Valid</v>
      </c>
      <c r="W625">
        <f t="shared" si="90"/>
        <v>6</v>
      </c>
      <c r="Y625" t="str">
        <f t="shared" si="91"/>
        <v>OK</v>
      </c>
      <c r="Z625" t="str">
        <f t="shared" si="92"/>
        <v>OK</v>
      </c>
      <c r="AA625" t="str">
        <f t="shared" si="93"/>
        <v>OK</v>
      </c>
      <c r="AB625" t="str">
        <f t="shared" si="94"/>
        <v>Valid</v>
      </c>
      <c r="AC625" t="str">
        <f>IF(OR(AB625="Invalid Discount",V625="Invalid Shipping"),
"Invalid",
IF(OR(Y625="Missing Region",
Z625="Missing Ship Mode",
AA625="Missing Discount",
X625="Flagged for Review"),
"Warning",
"Clean"))</f>
        <v>Clean</v>
      </c>
      <c r="AD625">
        <f t="shared" si="95"/>
        <v>0.05</v>
      </c>
      <c r="AE625">
        <f>N625*O625*(1-AD625)</f>
        <v>10329.843999999999</v>
      </c>
      <c r="AF625">
        <f>AE625-R625</f>
        <v>2817.6239999999989</v>
      </c>
      <c r="AG625" s="3">
        <f t="shared" si="96"/>
        <v>0.27276539703794161</v>
      </c>
      <c r="AH625" t="str">
        <f t="shared" si="97"/>
        <v>August</v>
      </c>
      <c r="AI625">
        <f t="shared" si="98"/>
        <v>2024</v>
      </c>
    </row>
    <row r="626" spans="1:35">
      <c r="A626" t="s">
        <v>1976</v>
      </c>
      <c r="B626" s="2">
        <v>45321</v>
      </c>
      <c r="C626" s="2">
        <v>45323</v>
      </c>
      <c r="D626" t="s">
        <v>1977</v>
      </c>
      <c r="E626" t="s">
        <v>93</v>
      </c>
      <c r="F626" t="s">
        <v>109</v>
      </c>
      <c r="G626" t="s">
        <v>52</v>
      </c>
      <c r="H626" t="s">
        <v>180</v>
      </c>
      <c r="I626" t="s">
        <v>181</v>
      </c>
      <c r="J626" t="s">
        <v>55</v>
      </c>
      <c r="K626" t="s">
        <v>80</v>
      </c>
      <c r="L626" t="s">
        <v>1978</v>
      </c>
      <c r="M626" t="s">
        <v>64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46</v>
      </c>
      <c r="U626" t="s">
        <v>47</v>
      </c>
      <c r="V626" t="str">
        <f t="shared" si="89"/>
        <v>Valid</v>
      </c>
      <c r="W626">
        <f t="shared" si="90"/>
        <v>2</v>
      </c>
      <c r="Y626" t="str">
        <f t="shared" si="91"/>
        <v>OK</v>
      </c>
      <c r="Z626" t="str">
        <f t="shared" si="92"/>
        <v>OK</v>
      </c>
      <c r="AA626" t="str">
        <f t="shared" si="93"/>
        <v>OK</v>
      </c>
      <c r="AB626" t="str">
        <f t="shared" si="94"/>
        <v>Valid</v>
      </c>
      <c r="AC626" t="str">
        <f>IF(OR(AB626="Invalid Discount",V626="Invalid Shipping"),
"Invalid",
IF(OR(Y626="Missing Region",
Z626="Missing Ship Mode",
AA626="Missing Discount",
X626="Flagged for Review"),
"Warning",
"Clean"))</f>
        <v>Clean</v>
      </c>
      <c r="AD626">
        <f t="shared" si="95"/>
        <v>0.05</v>
      </c>
      <c r="AE626">
        <f>N626*O626*(1-AD626)</f>
        <v>8456.9569999999985</v>
      </c>
      <c r="AF626">
        <f>AE626-R626</f>
        <v>2994.1069999999982</v>
      </c>
      <c r="AG626" s="3">
        <f t="shared" si="96"/>
        <v>0.35404070282017502</v>
      </c>
      <c r="AH626" t="str">
        <f t="shared" si="97"/>
        <v>January</v>
      </c>
      <c r="AI626">
        <f t="shared" si="98"/>
        <v>2024</v>
      </c>
    </row>
    <row r="627" spans="1:35">
      <c r="A627" t="s">
        <v>1979</v>
      </c>
      <c r="B627" s="2">
        <v>45641</v>
      </c>
      <c r="C627" s="2">
        <v>45647</v>
      </c>
      <c r="D627" t="s">
        <v>1980</v>
      </c>
      <c r="E627" t="s">
        <v>176</v>
      </c>
      <c r="F627" t="s">
        <v>104</v>
      </c>
      <c r="G627" t="s">
        <v>77</v>
      </c>
      <c r="H627" t="s">
        <v>40</v>
      </c>
      <c r="I627" t="s">
        <v>123</v>
      </c>
      <c r="J627" t="s">
        <v>55</v>
      </c>
      <c r="K627" t="s">
        <v>80</v>
      </c>
      <c r="L627" t="s">
        <v>1981</v>
      </c>
      <c r="M627" t="s">
        <v>58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46</v>
      </c>
      <c r="U627" t="s">
        <v>47</v>
      </c>
      <c r="V627" t="str">
        <f t="shared" si="89"/>
        <v>Valid</v>
      </c>
      <c r="W627">
        <f t="shared" si="90"/>
        <v>6</v>
      </c>
      <c r="Y627" t="str">
        <f t="shared" si="91"/>
        <v>OK</v>
      </c>
      <c r="Z627" t="str">
        <f t="shared" si="92"/>
        <v>OK</v>
      </c>
      <c r="AA627" t="str">
        <f t="shared" si="93"/>
        <v>OK</v>
      </c>
      <c r="AB627" t="str">
        <f t="shared" si="94"/>
        <v>Valid</v>
      </c>
      <c r="AC627" t="str">
        <f>IF(OR(AB627="Invalid Discount",V627="Invalid Shipping"),
"Invalid",
IF(OR(Y627="Missing Region",
Z627="Missing Ship Mode",
AA627="Missing Discount",
X627="Flagged for Review"),
"Warning",
"Clean"))</f>
        <v>Clean</v>
      </c>
      <c r="AD627">
        <f t="shared" si="95"/>
        <v>0.2</v>
      </c>
      <c r="AE627">
        <f>N627*O627*(1-AD627)</f>
        <v>1266.4079999999999</v>
      </c>
      <c r="AF627">
        <f>AE627-R627</f>
        <v>282.48799999999994</v>
      </c>
      <c r="AG627" s="3">
        <f t="shared" si="96"/>
        <v>0.22306239379410109</v>
      </c>
      <c r="AH627" t="str">
        <f t="shared" si="97"/>
        <v>December</v>
      </c>
      <c r="AI627">
        <f t="shared" si="98"/>
        <v>2024</v>
      </c>
    </row>
    <row r="628" spans="1:35">
      <c r="A628" t="s">
        <v>1982</v>
      </c>
      <c r="B628" s="2">
        <v>45812</v>
      </c>
      <c r="C628" s="2">
        <v>45815</v>
      </c>
      <c r="D628" t="s">
        <v>1983</v>
      </c>
      <c r="E628" t="s">
        <v>146</v>
      </c>
      <c r="F628" t="s">
        <v>109</v>
      </c>
      <c r="G628" t="s">
        <v>52</v>
      </c>
      <c r="H628" t="s">
        <v>180</v>
      </c>
      <c r="I628" t="s">
        <v>181</v>
      </c>
      <c r="J628" t="s">
        <v>88</v>
      </c>
      <c r="K628" t="s">
        <v>289</v>
      </c>
      <c r="L628" t="s">
        <v>1984</v>
      </c>
      <c r="M628" t="s">
        <v>73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125</v>
      </c>
      <c r="U628" t="s">
        <v>117</v>
      </c>
      <c r="V628" t="str">
        <f t="shared" si="89"/>
        <v>Valid</v>
      </c>
      <c r="W628">
        <f t="shared" si="90"/>
        <v>3</v>
      </c>
      <c r="Y628" t="str">
        <f t="shared" si="91"/>
        <v>OK</v>
      </c>
      <c r="Z628" t="str">
        <f t="shared" si="92"/>
        <v>OK</v>
      </c>
      <c r="AA628" t="str">
        <f t="shared" si="93"/>
        <v>OK</v>
      </c>
      <c r="AB628" t="str">
        <f t="shared" si="94"/>
        <v>Valid</v>
      </c>
      <c r="AC628" t="str">
        <f>IF(OR(AB628="Invalid Discount",V628="Invalid Shipping"),
"Invalid",
IF(OR(Y628="Missing Region",
Z628="Missing Ship Mode",
AA628="Missing Discount",
X628="Flagged for Review"),
"Warning",
"Clean"))</f>
        <v>Clean</v>
      </c>
      <c r="AD628">
        <f t="shared" si="95"/>
        <v>0</v>
      </c>
      <c r="AE628">
        <f>N628*O628*(1-AD628)</f>
        <v>11473.04</v>
      </c>
      <c r="AF628">
        <f>AE628-R628</f>
        <v>2541.7100000000009</v>
      </c>
      <c r="AG628" s="3">
        <f t="shared" si="96"/>
        <v>0.22153762211236086</v>
      </c>
      <c r="AH628" t="str">
        <f t="shared" si="97"/>
        <v>June</v>
      </c>
      <c r="AI628">
        <f t="shared" si="98"/>
        <v>2025</v>
      </c>
    </row>
    <row r="629" spans="1:35">
      <c r="A629" t="s">
        <v>1985</v>
      </c>
      <c r="B629" s="2">
        <v>45701</v>
      </c>
      <c r="C629" s="2">
        <v>45709</v>
      </c>
      <c r="D629" t="s">
        <v>1986</v>
      </c>
      <c r="E629" t="s">
        <v>37</v>
      </c>
      <c r="F629" t="s">
        <v>51</v>
      </c>
      <c r="G629" t="s">
        <v>68</v>
      </c>
      <c r="H629" t="s">
        <v>199</v>
      </c>
      <c r="I629" t="s">
        <v>200</v>
      </c>
      <c r="J629" t="s">
        <v>88</v>
      </c>
      <c r="K629" t="s">
        <v>185</v>
      </c>
      <c r="L629" t="s">
        <v>1987</v>
      </c>
      <c r="M629" t="s">
        <v>45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125</v>
      </c>
      <c r="U629" t="s">
        <v>82</v>
      </c>
      <c r="V629" t="str">
        <f t="shared" si="89"/>
        <v>Valid</v>
      </c>
      <c r="W629">
        <f t="shared" si="90"/>
        <v>8</v>
      </c>
      <c r="Y629" t="str">
        <f t="shared" si="91"/>
        <v>OK</v>
      </c>
      <c r="Z629" t="str">
        <f t="shared" si="92"/>
        <v>OK</v>
      </c>
      <c r="AA629" t="str">
        <f t="shared" si="93"/>
        <v>OK</v>
      </c>
      <c r="AB629" t="str">
        <f t="shared" si="94"/>
        <v>Valid</v>
      </c>
      <c r="AC629" t="str">
        <f>IF(OR(AB629="Invalid Discount",V629="Invalid Shipping"),
"Invalid",
IF(OR(Y629="Missing Region",
Z629="Missing Ship Mode",
AA629="Missing Discount",
X629="Flagged for Review"),
"Warning",
"Clean"))</f>
        <v>Clean</v>
      </c>
      <c r="AD629">
        <f t="shared" si="95"/>
        <v>0.15</v>
      </c>
      <c r="AE629">
        <f>N629*O629*(1-AD629)</f>
        <v>4012.0339999999997</v>
      </c>
      <c r="AF629">
        <f>AE629-R629</f>
        <v>869.11399999999958</v>
      </c>
      <c r="AG629" s="3">
        <f t="shared" si="96"/>
        <v>0.21662677833737193</v>
      </c>
      <c r="AH629" t="str">
        <f t="shared" si="97"/>
        <v>February</v>
      </c>
      <c r="AI629">
        <f t="shared" si="98"/>
        <v>2025</v>
      </c>
    </row>
    <row r="630" spans="1:35">
      <c r="A630" t="s">
        <v>1988</v>
      </c>
      <c r="B630" s="2">
        <v>45935</v>
      </c>
      <c r="C630" s="2">
        <v>45942</v>
      </c>
      <c r="D630" t="s">
        <v>1989</v>
      </c>
      <c r="E630" t="s">
        <v>76</v>
      </c>
      <c r="F630" t="s">
        <v>109</v>
      </c>
      <c r="G630" t="s">
        <v>52</v>
      </c>
      <c r="H630" t="s">
        <v>243</v>
      </c>
      <c r="I630" t="s">
        <v>244</v>
      </c>
      <c r="J630" t="s">
        <v>88</v>
      </c>
      <c r="K630" t="s">
        <v>89</v>
      </c>
      <c r="L630" t="s">
        <v>1990</v>
      </c>
      <c r="M630" t="s">
        <v>58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46</v>
      </c>
      <c r="U630" t="s">
        <v>47</v>
      </c>
      <c r="V630" t="str">
        <f t="shared" si="89"/>
        <v>Valid</v>
      </c>
      <c r="W630">
        <f t="shared" si="90"/>
        <v>7</v>
      </c>
      <c r="Y630" t="str">
        <f t="shared" si="91"/>
        <v>OK</v>
      </c>
      <c r="Z630" t="str">
        <f t="shared" si="92"/>
        <v>OK</v>
      </c>
      <c r="AA630" t="str">
        <f t="shared" si="93"/>
        <v>OK</v>
      </c>
      <c r="AB630" t="str">
        <f t="shared" si="94"/>
        <v>Valid</v>
      </c>
      <c r="AC630" t="str">
        <f>IF(OR(AB630="Invalid Discount",V630="Invalid Shipping"),
"Invalid",
IF(OR(Y630="Missing Region",
Z630="Missing Ship Mode",
AA630="Missing Discount",
X630="Flagged for Review"),
"Warning",
"Clean"))</f>
        <v>Clean</v>
      </c>
      <c r="AD630">
        <f t="shared" si="95"/>
        <v>0.05</v>
      </c>
      <c r="AE630">
        <f>N630*O630*(1-AD630)</f>
        <v>5364.3554999999997</v>
      </c>
      <c r="AF630">
        <f>AE630-R630</f>
        <v>973.0654999999997</v>
      </c>
      <c r="AG630" s="3">
        <f t="shared" si="96"/>
        <v>0.18139467080434915</v>
      </c>
      <c r="AH630" t="str">
        <f t="shared" si="97"/>
        <v>October</v>
      </c>
      <c r="AI630">
        <f t="shared" si="98"/>
        <v>2025</v>
      </c>
    </row>
    <row r="631" spans="1:35">
      <c r="A631" t="s">
        <v>1991</v>
      </c>
      <c r="B631" s="2">
        <v>45910</v>
      </c>
      <c r="C631" s="2">
        <v>45914</v>
      </c>
      <c r="D631" t="s">
        <v>1992</v>
      </c>
      <c r="E631" t="s">
        <v>67</v>
      </c>
      <c r="F631" t="s">
        <v>109</v>
      </c>
      <c r="G631" t="s">
        <v>77</v>
      </c>
      <c r="H631" t="s">
        <v>194</v>
      </c>
      <c r="I631" t="s">
        <v>195</v>
      </c>
      <c r="J631" t="s">
        <v>55</v>
      </c>
      <c r="K631" t="s">
        <v>56</v>
      </c>
      <c r="L631" t="s">
        <v>1993</v>
      </c>
      <c r="M631" t="s">
        <v>58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46</v>
      </c>
      <c r="U631" t="s">
        <v>47</v>
      </c>
      <c r="V631" t="str">
        <f t="shared" si="89"/>
        <v>Valid</v>
      </c>
      <c r="W631">
        <f t="shared" si="90"/>
        <v>4</v>
      </c>
      <c r="Y631" t="str">
        <f t="shared" si="91"/>
        <v>OK</v>
      </c>
      <c r="Z631" t="str">
        <f t="shared" si="92"/>
        <v>OK</v>
      </c>
      <c r="AA631" t="str">
        <f t="shared" si="93"/>
        <v>OK</v>
      </c>
      <c r="AB631" t="str">
        <f t="shared" si="94"/>
        <v>Valid</v>
      </c>
      <c r="AC631" t="str">
        <f>IF(OR(AB631="Invalid Discount",V631="Invalid Shipping"),
"Invalid",
IF(OR(Y631="Missing Region",
Z631="Missing Ship Mode",
AA631="Missing Discount",
X631="Flagged for Review"),
"Warning",
"Clean"))</f>
        <v>Clean</v>
      </c>
      <c r="AD631">
        <f t="shared" si="95"/>
        <v>0.15</v>
      </c>
      <c r="AE631">
        <f>N631*O631*(1-AD631)</f>
        <v>10706.073</v>
      </c>
      <c r="AF631">
        <f>AE631-R631</f>
        <v>4778.973</v>
      </c>
      <c r="AG631" s="3">
        <f t="shared" si="96"/>
        <v>0.44637963892082555</v>
      </c>
      <c r="AH631" t="str">
        <f t="shared" si="97"/>
        <v>September</v>
      </c>
      <c r="AI631">
        <f t="shared" si="98"/>
        <v>2025</v>
      </c>
    </row>
    <row r="632" spans="1:35">
      <c r="A632" t="s">
        <v>1994</v>
      </c>
      <c r="B632" s="2">
        <v>45391</v>
      </c>
      <c r="C632" s="2">
        <v>45392</v>
      </c>
      <c r="D632" t="s">
        <v>1995</v>
      </c>
      <c r="E632" t="s">
        <v>128</v>
      </c>
      <c r="F632" t="s">
        <v>104</v>
      </c>
      <c r="G632" t="s">
        <v>52</v>
      </c>
      <c r="H632" t="s">
        <v>180</v>
      </c>
      <c r="I632" t="s">
        <v>181</v>
      </c>
      <c r="J632" t="s">
        <v>42</v>
      </c>
      <c r="K632" t="s">
        <v>43</v>
      </c>
      <c r="L632" t="s">
        <v>1996</v>
      </c>
      <c r="M632" t="s">
        <v>73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46</v>
      </c>
      <c r="U632" t="s">
        <v>47</v>
      </c>
      <c r="V632" t="str">
        <f t="shared" si="89"/>
        <v>Valid</v>
      </c>
      <c r="W632">
        <f t="shared" si="90"/>
        <v>1</v>
      </c>
      <c r="Y632" t="str">
        <f t="shared" si="91"/>
        <v>OK</v>
      </c>
      <c r="Z632" t="str">
        <f t="shared" si="92"/>
        <v>OK</v>
      </c>
      <c r="AA632" t="str">
        <f t="shared" si="93"/>
        <v>OK</v>
      </c>
      <c r="AB632" t="str">
        <f t="shared" si="94"/>
        <v>Valid</v>
      </c>
      <c r="AC632" t="str">
        <f>IF(OR(AB632="Invalid Discount",V632="Invalid Shipping"),
"Invalid",
IF(OR(Y632="Missing Region",
Z632="Missing Ship Mode",
AA632="Missing Discount",
X632="Flagged for Review"),
"Warning",
"Clean"))</f>
        <v>Clean</v>
      </c>
      <c r="AD632">
        <f t="shared" si="95"/>
        <v>0.1</v>
      </c>
      <c r="AE632">
        <f>N632*O632*(1-AD632)</f>
        <v>10969.380000000001</v>
      </c>
      <c r="AF632">
        <f>AE632-R632</f>
        <v>1714.9200000000019</v>
      </c>
      <c r="AG632" s="3">
        <f t="shared" si="96"/>
        <v>0.15633700354988173</v>
      </c>
      <c r="AH632" t="str">
        <f t="shared" si="97"/>
        <v>April</v>
      </c>
      <c r="AI632">
        <f t="shared" si="98"/>
        <v>2024</v>
      </c>
    </row>
    <row r="633" spans="1:35">
      <c r="A633" t="s">
        <v>1997</v>
      </c>
      <c r="B633" s="2">
        <v>45392</v>
      </c>
      <c r="C633" s="2">
        <v>45397</v>
      </c>
      <c r="D633" t="s">
        <v>1998</v>
      </c>
      <c r="E633" t="s">
        <v>142</v>
      </c>
      <c r="F633" t="s">
        <v>109</v>
      </c>
      <c r="G633" t="s">
        <v>77</v>
      </c>
      <c r="H633" t="s">
        <v>40</v>
      </c>
      <c r="I633" t="s">
        <v>123</v>
      </c>
      <c r="J633" t="s">
        <v>55</v>
      </c>
      <c r="K633" t="s">
        <v>80</v>
      </c>
      <c r="L633" t="s">
        <v>1999</v>
      </c>
      <c r="M633" t="s">
        <v>73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46</v>
      </c>
      <c r="U633" t="s">
        <v>47</v>
      </c>
      <c r="V633" t="str">
        <f t="shared" si="89"/>
        <v>Valid</v>
      </c>
      <c r="W633">
        <f t="shared" si="90"/>
        <v>5</v>
      </c>
      <c r="Y633" t="str">
        <f t="shared" si="91"/>
        <v>OK</v>
      </c>
      <c r="Z633" t="str">
        <f t="shared" si="92"/>
        <v>OK</v>
      </c>
      <c r="AA633" t="str">
        <f t="shared" si="93"/>
        <v>OK</v>
      </c>
      <c r="AB633" t="str">
        <f t="shared" si="94"/>
        <v>Valid</v>
      </c>
      <c r="AC633" t="str">
        <f>IF(OR(AB633="Invalid Discount",V633="Invalid Shipping"),
"Invalid",
IF(OR(Y633="Missing Region",
Z633="Missing Ship Mode",
AA633="Missing Discount",
X633="Flagged for Review"),
"Warning",
"Clean"))</f>
        <v>Clean</v>
      </c>
      <c r="AD633">
        <f t="shared" si="95"/>
        <v>0.1</v>
      </c>
      <c r="AE633">
        <f>N633*O633*(1-AD633)</f>
        <v>31409.855999999996</v>
      </c>
      <c r="AF633">
        <f>AE633-R633</f>
        <v>8886.3159999999953</v>
      </c>
      <c r="AG633" s="3">
        <f t="shared" si="96"/>
        <v>0.2829148914277097</v>
      </c>
      <c r="AH633" t="str">
        <f t="shared" si="97"/>
        <v>April</v>
      </c>
      <c r="AI633">
        <f t="shared" si="98"/>
        <v>2024</v>
      </c>
    </row>
    <row r="634" spans="1:35">
      <c r="A634" t="s">
        <v>2000</v>
      </c>
      <c r="B634" s="2">
        <v>45762</v>
      </c>
      <c r="C634" s="2">
        <v>45763</v>
      </c>
      <c r="D634" t="s">
        <v>2001</v>
      </c>
      <c r="E634" t="s">
        <v>146</v>
      </c>
      <c r="F634" t="s">
        <v>51</v>
      </c>
      <c r="G634" t="s">
        <v>68</v>
      </c>
      <c r="H634" t="s">
        <v>189</v>
      </c>
      <c r="I634" t="s">
        <v>190</v>
      </c>
      <c r="J634" t="s">
        <v>55</v>
      </c>
      <c r="K634" t="s">
        <v>71</v>
      </c>
      <c r="L634" t="s">
        <v>2002</v>
      </c>
      <c r="M634" t="s">
        <v>64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46</v>
      </c>
      <c r="U634" t="s">
        <v>47</v>
      </c>
      <c r="V634" t="str">
        <f t="shared" si="89"/>
        <v>Valid</v>
      </c>
      <c r="W634">
        <f t="shared" si="90"/>
        <v>1</v>
      </c>
      <c r="Y634" t="str">
        <f t="shared" si="91"/>
        <v>OK</v>
      </c>
      <c r="Z634" t="str">
        <f t="shared" si="92"/>
        <v>OK</v>
      </c>
      <c r="AA634" t="str">
        <f t="shared" si="93"/>
        <v>OK</v>
      </c>
      <c r="AB634" t="str">
        <f t="shared" si="94"/>
        <v>Valid</v>
      </c>
      <c r="AC634" t="str">
        <f>IF(OR(AB634="Invalid Discount",V634="Invalid Shipping"),
"Invalid",
IF(OR(Y634="Missing Region",
Z634="Missing Ship Mode",
AA634="Missing Discount",
X634="Flagged for Review"),
"Warning",
"Clean"))</f>
        <v>Clean</v>
      </c>
      <c r="AD634">
        <f t="shared" si="95"/>
        <v>0</v>
      </c>
      <c r="AE634">
        <f>N634*O634*(1-AD634)</f>
        <v>14252.650000000001</v>
      </c>
      <c r="AF634">
        <f>AE634-R634</f>
        <v>2694.340000000002</v>
      </c>
      <c r="AG634" s="3">
        <f t="shared" si="96"/>
        <v>0.18904133617257154</v>
      </c>
      <c r="AH634" t="str">
        <f t="shared" si="97"/>
        <v>April</v>
      </c>
      <c r="AI634">
        <f t="shared" si="98"/>
        <v>2025</v>
      </c>
    </row>
    <row r="635" spans="1:35">
      <c r="A635" t="s">
        <v>2003</v>
      </c>
      <c r="B635" s="2">
        <v>45765</v>
      </c>
      <c r="C635" s="2">
        <v>45767</v>
      </c>
      <c r="D635" t="s">
        <v>2004</v>
      </c>
      <c r="E635" t="s">
        <v>142</v>
      </c>
      <c r="F635" t="s">
        <v>51</v>
      </c>
      <c r="G635" t="s">
        <v>68</v>
      </c>
      <c r="H635" t="s">
        <v>262</v>
      </c>
      <c r="I635" t="s">
        <v>263</v>
      </c>
      <c r="J635" t="s">
        <v>88</v>
      </c>
      <c r="K635" t="s">
        <v>89</v>
      </c>
      <c r="L635" t="s">
        <v>2005</v>
      </c>
      <c r="M635" t="s">
        <v>45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46</v>
      </c>
      <c r="U635" t="s">
        <v>47</v>
      </c>
      <c r="V635" t="str">
        <f t="shared" si="89"/>
        <v>Valid</v>
      </c>
      <c r="W635">
        <f t="shared" si="90"/>
        <v>2</v>
      </c>
      <c r="Y635" t="str">
        <f t="shared" si="91"/>
        <v>OK</v>
      </c>
      <c r="Z635" t="str">
        <f t="shared" si="92"/>
        <v>OK</v>
      </c>
      <c r="AA635" t="str">
        <f t="shared" si="93"/>
        <v>OK</v>
      </c>
      <c r="AB635" t="str">
        <f t="shared" si="94"/>
        <v>Valid</v>
      </c>
      <c r="AC635" t="str">
        <f>IF(OR(AB635="Invalid Discount",V635="Invalid Shipping"),
"Invalid",
IF(OR(Y635="Missing Region",
Z635="Missing Ship Mode",
AA635="Missing Discount",
X635="Flagged for Review"),
"Warning",
"Clean"))</f>
        <v>Clean</v>
      </c>
      <c r="AD635">
        <f t="shared" si="95"/>
        <v>0.15</v>
      </c>
      <c r="AE635">
        <f>N635*O635*(1-AD635)</f>
        <v>1382.1679999999999</v>
      </c>
      <c r="AF635">
        <f>AE635-R635</f>
        <v>572.13799999999992</v>
      </c>
      <c r="AG635" s="3">
        <f t="shared" si="96"/>
        <v>0.4139424440444287</v>
      </c>
      <c r="AH635" t="str">
        <f t="shared" si="97"/>
        <v>April</v>
      </c>
      <c r="AI635">
        <f t="shared" si="98"/>
        <v>2025</v>
      </c>
    </row>
    <row r="636" spans="1:35">
      <c r="A636" t="s">
        <v>2006</v>
      </c>
      <c r="B636" s="2">
        <v>45668</v>
      </c>
      <c r="C636" s="2">
        <v>45669</v>
      </c>
      <c r="D636" t="s">
        <v>2007</v>
      </c>
      <c r="E636" t="s">
        <v>103</v>
      </c>
      <c r="F636" t="s">
        <v>38</v>
      </c>
      <c r="G636" t="s">
        <v>68</v>
      </c>
      <c r="H636" t="s">
        <v>69</v>
      </c>
      <c r="I636" t="s">
        <v>70</v>
      </c>
      <c r="J636" t="s">
        <v>55</v>
      </c>
      <c r="K636" t="s">
        <v>80</v>
      </c>
      <c r="L636" t="s">
        <v>2008</v>
      </c>
      <c r="M636" t="s">
        <v>45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46</v>
      </c>
      <c r="U636" t="s">
        <v>47</v>
      </c>
      <c r="V636" t="str">
        <f t="shared" si="89"/>
        <v>Valid</v>
      </c>
      <c r="W636">
        <f t="shared" si="90"/>
        <v>1</v>
      </c>
      <c r="Y636" t="str">
        <f t="shared" si="91"/>
        <v>OK</v>
      </c>
      <c r="Z636" t="str">
        <f t="shared" si="92"/>
        <v>OK</v>
      </c>
      <c r="AA636" t="str">
        <f t="shared" si="93"/>
        <v>OK</v>
      </c>
      <c r="AB636" t="str">
        <f t="shared" si="94"/>
        <v>Valid</v>
      </c>
      <c r="AC636" t="str">
        <f>IF(OR(AB636="Invalid Discount",V636="Invalid Shipping"),
"Invalid",
IF(OR(Y636="Missing Region",
Z636="Missing Ship Mode",
AA636="Missing Discount",
X636="Flagged for Review"),
"Warning",
"Clean"))</f>
        <v>Clean</v>
      </c>
      <c r="AD636">
        <f t="shared" si="95"/>
        <v>0.05</v>
      </c>
      <c r="AE636">
        <f>N636*O636*(1-AD636)</f>
        <v>9223.17</v>
      </c>
      <c r="AF636">
        <f>AE636-R636</f>
        <v>4119.47</v>
      </c>
      <c r="AG636" s="3">
        <f t="shared" si="96"/>
        <v>0.44664361602355807</v>
      </c>
      <c r="AH636" t="str">
        <f t="shared" si="97"/>
        <v>January</v>
      </c>
      <c r="AI636">
        <f t="shared" si="98"/>
        <v>2025</v>
      </c>
    </row>
    <row r="637" spans="1:35">
      <c r="A637" t="s">
        <v>2009</v>
      </c>
      <c r="B637" s="2">
        <v>45432</v>
      </c>
      <c r="C637" s="2">
        <v>45437</v>
      </c>
      <c r="D637" t="s">
        <v>2010</v>
      </c>
      <c r="E637" t="s">
        <v>50</v>
      </c>
      <c r="F637" t="s">
        <v>104</v>
      </c>
      <c r="G637" t="s">
        <v>68</v>
      </c>
      <c r="H637" t="s">
        <v>98</v>
      </c>
      <c r="I637" t="s">
        <v>99</v>
      </c>
      <c r="J637" t="s">
        <v>55</v>
      </c>
      <c r="K637" t="s">
        <v>80</v>
      </c>
      <c r="L637" t="s">
        <v>2011</v>
      </c>
      <c r="M637" t="s">
        <v>58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46</v>
      </c>
      <c r="U637" t="s">
        <v>47</v>
      </c>
      <c r="V637" t="str">
        <f t="shared" si="89"/>
        <v>Valid</v>
      </c>
      <c r="W637">
        <f t="shared" si="90"/>
        <v>5</v>
      </c>
      <c r="Y637" t="str">
        <f t="shared" si="91"/>
        <v>OK</v>
      </c>
      <c r="Z637" t="str">
        <f t="shared" si="92"/>
        <v>OK</v>
      </c>
      <c r="AA637" t="str">
        <f t="shared" si="93"/>
        <v>OK</v>
      </c>
      <c r="AB637" t="str">
        <f t="shared" si="94"/>
        <v>Valid</v>
      </c>
      <c r="AC637" t="str">
        <f>IF(OR(AB637="Invalid Discount",V637="Invalid Shipping"),
"Invalid",
IF(OR(Y637="Missing Region",
Z637="Missing Ship Mode",
AA637="Missing Discount",
X637="Flagged for Review"),
"Warning",
"Clean"))</f>
        <v>Clean</v>
      </c>
      <c r="AD637">
        <f t="shared" si="95"/>
        <v>0.25</v>
      </c>
      <c r="AE637">
        <f>N637*O637*(1-AD637)</f>
        <v>16394.962500000001</v>
      </c>
      <c r="AF637">
        <f>AE637-R637</f>
        <v>5990.7925000000014</v>
      </c>
      <c r="AG637" s="3">
        <f t="shared" si="96"/>
        <v>0.36540446493854445</v>
      </c>
      <c r="AH637" t="str">
        <f t="shared" si="97"/>
        <v>May</v>
      </c>
      <c r="AI637">
        <f t="shared" si="98"/>
        <v>2024</v>
      </c>
    </row>
    <row r="638" spans="1:35">
      <c r="A638" t="s">
        <v>2012</v>
      </c>
      <c r="B638" s="2">
        <v>45567</v>
      </c>
      <c r="C638" s="2">
        <v>45574</v>
      </c>
      <c r="D638" t="s">
        <v>2013</v>
      </c>
      <c r="E638" t="s">
        <v>76</v>
      </c>
      <c r="F638" t="s">
        <v>38</v>
      </c>
      <c r="G638" t="s">
        <v>68</v>
      </c>
      <c r="H638" t="s">
        <v>262</v>
      </c>
      <c r="I638" t="s">
        <v>263</v>
      </c>
      <c r="J638" t="s">
        <v>42</v>
      </c>
      <c r="K638" t="s">
        <v>43</v>
      </c>
      <c r="L638" t="s">
        <v>2014</v>
      </c>
      <c r="M638" t="s">
        <v>73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46</v>
      </c>
      <c r="U638" t="s">
        <v>47</v>
      </c>
      <c r="V638" t="str">
        <f t="shared" si="89"/>
        <v>Valid</v>
      </c>
      <c r="W638">
        <f t="shared" si="90"/>
        <v>7</v>
      </c>
      <c r="Y638" t="str">
        <f t="shared" si="91"/>
        <v>OK</v>
      </c>
      <c r="Z638" t="str">
        <f t="shared" si="92"/>
        <v>OK</v>
      </c>
      <c r="AA638" t="str">
        <f t="shared" si="93"/>
        <v>OK</v>
      </c>
      <c r="AB638" t="str">
        <f t="shared" si="94"/>
        <v>Valid</v>
      </c>
      <c r="AC638" t="str">
        <f>IF(OR(AB638="Invalid Discount",V638="Invalid Shipping"),
"Invalid",
IF(OR(Y638="Missing Region",
Z638="Missing Ship Mode",
AA638="Missing Discount",
X638="Flagged for Review"),
"Warning",
"Clean"))</f>
        <v>Clean</v>
      </c>
      <c r="AD638">
        <f t="shared" si="95"/>
        <v>0.15</v>
      </c>
      <c r="AE638">
        <f>N638*O638*(1-AD638)</f>
        <v>12990.108</v>
      </c>
      <c r="AF638">
        <f>AE638-R638</f>
        <v>2789.3080000000009</v>
      </c>
      <c r="AG638" s="3">
        <f t="shared" si="96"/>
        <v>0.2147255434673831</v>
      </c>
      <c r="AH638" t="str">
        <f t="shared" si="97"/>
        <v>October</v>
      </c>
      <c r="AI638">
        <f t="shared" si="98"/>
        <v>2024</v>
      </c>
    </row>
    <row r="639" spans="1:35">
      <c r="A639" t="s">
        <v>2015</v>
      </c>
      <c r="B639" s="2">
        <v>45438</v>
      </c>
      <c r="C639" s="2">
        <v>45438</v>
      </c>
      <c r="D639" t="s">
        <v>2016</v>
      </c>
      <c r="E639" t="s">
        <v>132</v>
      </c>
      <c r="F639" t="s">
        <v>51</v>
      </c>
      <c r="G639" t="s">
        <v>77</v>
      </c>
      <c r="H639" t="s">
        <v>204</v>
      </c>
      <c r="I639" t="s">
        <v>205</v>
      </c>
      <c r="J639" t="s">
        <v>88</v>
      </c>
      <c r="K639" t="s">
        <v>94</v>
      </c>
      <c r="L639" t="s">
        <v>2017</v>
      </c>
      <c r="M639" t="s">
        <v>64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46</v>
      </c>
      <c r="U639" t="s">
        <v>47</v>
      </c>
      <c r="V639" t="str">
        <f t="shared" si="89"/>
        <v>Valid</v>
      </c>
      <c r="W639">
        <f t="shared" si="90"/>
        <v>0</v>
      </c>
      <c r="Y639" t="str">
        <f t="shared" si="91"/>
        <v>OK</v>
      </c>
      <c r="Z639" t="str">
        <f t="shared" si="92"/>
        <v>OK</v>
      </c>
      <c r="AA639" t="str">
        <f t="shared" si="93"/>
        <v>OK</v>
      </c>
      <c r="AB639" t="str">
        <f t="shared" si="94"/>
        <v>Valid</v>
      </c>
      <c r="AC639" t="str">
        <f>IF(OR(AB639="Invalid Discount",V639="Invalid Shipping"),
"Invalid",
IF(OR(Y639="Missing Region",
Z639="Missing Ship Mode",
AA639="Missing Discount",
X639="Flagged for Review"),
"Warning",
"Clean"))</f>
        <v>Clean</v>
      </c>
      <c r="AD639">
        <f t="shared" si="95"/>
        <v>0.2</v>
      </c>
      <c r="AE639">
        <f>N639*O639*(1-AD639)</f>
        <v>5107.9520000000002</v>
      </c>
      <c r="AF639">
        <f>AE639-R639</f>
        <v>1974.8720000000003</v>
      </c>
      <c r="AG639" s="3">
        <f t="shared" si="96"/>
        <v>0.38662696908663202</v>
      </c>
      <c r="AH639" t="str">
        <f t="shared" si="97"/>
        <v>May</v>
      </c>
      <c r="AI639">
        <f t="shared" si="98"/>
        <v>2024</v>
      </c>
    </row>
    <row r="640" spans="1:35">
      <c r="A640" t="s">
        <v>2018</v>
      </c>
      <c r="B640" s="2">
        <v>45317</v>
      </c>
      <c r="C640" s="2">
        <v>45322</v>
      </c>
      <c r="D640" t="s">
        <v>2019</v>
      </c>
      <c r="E640" t="s">
        <v>37</v>
      </c>
      <c r="F640" t="s">
        <v>104</v>
      </c>
      <c r="G640" t="s">
        <v>68</v>
      </c>
      <c r="H640" t="s">
        <v>199</v>
      </c>
      <c r="I640" t="s">
        <v>200</v>
      </c>
      <c r="J640" t="s">
        <v>42</v>
      </c>
      <c r="K640" t="s">
        <v>138</v>
      </c>
      <c r="L640" t="s">
        <v>2020</v>
      </c>
      <c r="M640" t="s">
        <v>45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169</v>
      </c>
      <c r="U640" t="s">
        <v>117</v>
      </c>
      <c r="V640" t="str">
        <f t="shared" si="89"/>
        <v>Valid</v>
      </c>
      <c r="W640">
        <f t="shared" si="90"/>
        <v>5</v>
      </c>
      <c r="Y640" t="str">
        <f t="shared" si="91"/>
        <v>OK</v>
      </c>
      <c r="Z640" t="str">
        <f t="shared" si="92"/>
        <v>OK</v>
      </c>
      <c r="AA640" t="str">
        <f t="shared" si="93"/>
        <v>OK</v>
      </c>
      <c r="AB640" t="str">
        <f t="shared" si="94"/>
        <v>Valid</v>
      </c>
      <c r="AC640" t="str">
        <f>IF(OR(AB640="Invalid Discount",V640="Invalid Shipping"),
"Invalid",
IF(OR(Y640="Missing Region",
Z640="Missing Ship Mode",
AA640="Missing Discount",
X640="Flagged for Review"),
"Warning",
"Clean"))</f>
        <v>Clean</v>
      </c>
      <c r="AD640">
        <f t="shared" si="95"/>
        <v>0.2</v>
      </c>
      <c r="AE640">
        <f>N640*O640*(1-AD640)</f>
        <v>7738.3680000000013</v>
      </c>
      <c r="AF640">
        <f>AE640-R640</f>
        <v>3111.5180000000009</v>
      </c>
      <c r="AG640" s="3">
        <f t="shared" si="96"/>
        <v>0.40208969126306743</v>
      </c>
      <c r="AH640" t="str">
        <f t="shared" si="97"/>
        <v>January</v>
      </c>
      <c r="AI640">
        <f t="shared" si="98"/>
        <v>2024</v>
      </c>
    </row>
    <row r="641" spans="1:35">
      <c r="A641" t="s">
        <v>2021</v>
      </c>
      <c r="B641" s="2">
        <v>45653</v>
      </c>
      <c r="C641" s="2">
        <v>45657</v>
      </c>
      <c r="D641" t="s">
        <v>2022</v>
      </c>
      <c r="E641" t="s">
        <v>61</v>
      </c>
      <c r="F641" t="s">
        <v>51</v>
      </c>
      <c r="G641" t="s">
        <v>52</v>
      </c>
      <c r="H641" t="s">
        <v>53</v>
      </c>
      <c r="I641" t="s">
        <v>54</v>
      </c>
      <c r="J641" t="s">
        <v>55</v>
      </c>
      <c r="K641" t="s">
        <v>80</v>
      </c>
      <c r="L641" t="s">
        <v>2023</v>
      </c>
      <c r="M641" t="s">
        <v>45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46</v>
      </c>
      <c r="U641" t="s">
        <v>47</v>
      </c>
      <c r="V641" t="str">
        <f t="shared" si="89"/>
        <v>Valid</v>
      </c>
      <c r="W641">
        <f t="shared" si="90"/>
        <v>4</v>
      </c>
      <c r="Y641" t="str">
        <f t="shared" si="91"/>
        <v>OK</v>
      </c>
      <c r="Z641" t="str">
        <f t="shared" si="92"/>
        <v>OK</v>
      </c>
      <c r="AA641" t="str">
        <f t="shared" si="93"/>
        <v>OK</v>
      </c>
      <c r="AB641" t="str">
        <f t="shared" si="94"/>
        <v>Valid</v>
      </c>
      <c r="AC641" t="str">
        <f>IF(OR(AB641="Invalid Discount",V641="Invalid Shipping"),
"Invalid",
IF(OR(Y641="Missing Region",
Z641="Missing Ship Mode",
AA641="Missing Discount",
X641="Flagged for Review"),
"Warning",
"Clean"))</f>
        <v>Clean</v>
      </c>
      <c r="AD641">
        <f t="shared" si="95"/>
        <v>0.05</v>
      </c>
      <c r="AE641">
        <f>N641*O641*(1-AD641)</f>
        <v>1514.9649999999999</v>
      </c>
      <c r="AF641">
        <f>AE641-R641</f>
        <v>468.79499999999985</v>
      </c>
      <c r="AG641" s="3">
        <f t="shared" si="96"/>
        <v>0.3094427924077453</v>
      </c>
      <c r="AH641" t="str">
        <f t="shared" si="97"/>
        <v>December</v>
      </c>
      <c r="AI641">
        <f t="shared" si="98"/>
        <v>2024</v>
      </c>
    </row>
    <row r="642" spans="1:35">
      <c r="A642" t="s">
        <v>2024</v>
      </c>
      <c r="B642" s="2">
        <v>45671</v>
      </c>
      <c r="C642" s="2">
        <v>45674</v>
      </c>
      <c r="D642" t="s">
        <v>2025</v>
      </c>
      <c r="E642" t="s">
        <v>85</v>
      </c>
      <c r="F642" t="s">
        <v>38</v>
      </c>
      <c r="G642" t="s">
        <v>77</v>
      </c>
      <c r="H642" t="s">
        <v>204</v>
      </c>
      <c r="I642" t="s">
        <v>205</v>
      </c>
      <c r="J642" t="s">
        <v>42</v>
      </c>
      <c r="K642" t="s">
        <v>138</v>
      </c>
      <c r="L642" t="s">
        <v>2026</v>
      </c>
      <c r="M642" t="s">
        <v>64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46</v>
      </c>
      <c r="U642" t="s">
        <v>47</v>
      </c>
      <c r="V642" t="str">
        <f t="shared" si="89"/>
        <v>Valid</v>
      </c>
      <c r="W642">
        <f t="shared" si="90"/>
        <v>3</v>
      </c>
      <c r="Y642" t="str">
        <f t="shared" si="91"/>
        <v>OK</v>
      </c>
      <c r="Z642" t="str">
        <f t="shared" si="92"/>
        <v>OK</v>
      </c>
      <c r="AA642" t="str">
        <f t="shared" si="93"/>
        <v>OK</v>
      </c>
      <c r="AB642" t="str">
        <f t="shared" si="94"/>
        <v>Valid</v>
      </c>
      <c r="AC642" t="str">
        <f>IF(OR(AB642="Invalid Discount",V642="Invalid Shipping"),
"Invalid",
IF(OR(Y642="Missing Region",
Z642="Missing Ship Mode",
AA642="Missing Discount",
X642="Flagged for Review"),
"Warning",
"Clean"))</f>
        <v>Clean</v>
      </c>
      <c r="AD642">
        <f t="shared" si="95"/>
        <v>0.2</v>
      </c>
      <c r="AE642">
        <f>N642*O642*(1-AD642)</f>
        <v>1267.296</v>
      </c>
      <c r="AF642">
        <f>AE642-R642</f>
        <v>343.76600000000008</v>
      </c>
      <c r="AG642" s="3">
        <f t="shared" si="96"/>
        <v>0.27125943741635739</v>
      </c>
      <c r="AH642" t="str">
        <f t="shared" si="97"/>
        <v>January</v>
      </c>
      <c r="AI642">
        <f t="shared" si="98"/>
        <v>2025</v>
      </c>
    </row>
    <row r="643" spans="1:35">
      <c r="A643" t="s">
        <v>2027</v>
      </c>
      <c r="B643" s="2">
        <v>45756</v>
      </c>
      <c r="C643" s="2">
        <v>45761</v>
      </c>
      <c r="D643" t="s">
        <v>2028</v>
      </c>
      <c r="E643" t="s">
        <v>37</v>
      </c>
      <c r="F643" t="s">
        <v>38</v>
      </c>
      <c r="G643" t="s">
        <v>39</v>
      </c>
      <c r="H643" t="s">
        <v>365</v>
      </c>
      <c r="I643" t="s">
        <v>366</v>
      </c>
      <c r="J643" t="s">
        <v>55</v>
      </c>
      <c r="K643" t="s">
        <v>71</v>
      </c>
      <c r="L643" t="s">
        <v>2029</v>
      </c>
      <c r="M643" t="s">
        <v>58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46</v>
      </c>
      <c r="U643" t="s">
        <v>47</v>
      </c>
      <c r="V643" t="str">
        <f t="shared" ref="V643:V706" si="99">IF(C643&lt;B643,"Invalid Shipping","Valid")</f>
        <v>Valid</v>
      </c>
      <c r="W643">
        <f t="shared" ref="W643:W706" si="100">C643-B643</f>
        <v>5</v>
      </c>
      <c r="Y643" t="str">
        <f t="shared" ref="Y643:Y706" si="101">IF(G643="Unknown","Missing Region","OK")</f>
        <v>OK</v>
      </c>
      <c r="Z643" t="str">
        <f t="shared" ref="Z643:Z706" si="102">IF(M643="Unknown","Missing Ship Mode","OK")</f>
        <v>OK</v>
      </c>
      <c r="AA643" t="str">
        <f t="shared" ref="AA643:AA706" si="103">IF(P643="","Missing Discount","OK")</f>
        <v>OK</v>
      </c>
      <c r="AB643" t="str">
        <f t="shared" ref="AB643:AB706" si="104">IF(OR(P643&lt;0,P643&gt;1),"Invalid Discount","Valid")</f>
        <v>Valid</v>
      </c>
      <c r="AC643" t="str">
        <f>IF(OR(AB643="Invalid Discount",V643="Invalid Shipping"),
"Invalid",
IF(OR(Y643="Missing Region",
Z643="Missing Ship Mode",
AA643="Missing Discount",
X643="Flagged for Review"),
"Warning",
"Clean"))</f>
        <v>Clean</v>
      </c>
      <c r="AD643">
        <f t="shared" ref="AD643:AD706" si="105">IF(P643="",0,P643)</f>
        <v>0</v>
      </c>
      <c r="AE643">
        <f>N643*O643*(1-AD643)</f>
        <v>6405.74</v>
      </c>
      <c r="AF643">
        <f>AE643-R643</f>
        <v>2843.87</v>
      </c>
      <c r="AG643" s="3">
        <f t="shared" ref="AG643:AG706" si="106">IF(AE643=0,0,AF643/AE643)</f>
        <v>0.44395651400150488</v>
      </c>
      <c r="AH643" t="str">
        <f t="shared" ref="AH643:AH706" si="107">TEXT(B643,"mmmm")</f>
        <v>April</v>
      </c>
      <c r="AI643">
        <f t="shared" ref="AI643:AI706" si="108">YEAR(B643)</f>
        <v>2025</v>
      </c>
    </row>
    <row r="644" spans="1:35">
      <c r="A644" t="s">
        <v>2030</v>
      </c>
      <c r="B644" s="2">
        <v>45533</v>
      </c>
      <c r="C644" s="2">
        <v>45535</v>
      </c>
      <c r="D644" t="s">
        <v>2031</v>
      </c>
      <c r="E644" t="s">
        <v>61</v>
      </c>
      <c r="F644" t="s">
        <v>109</v>
      </c>
      <c r="G644" t="s">
        <v>52</v>
      </c>
      <c r="H644" t="s">
        <v>180</v>
      </c>
      <c r="I644" t="s">
        <v>181</v>
      </c>
      <c r="J644" t="s">
        <v>42</v>
      </c>
      <c r="K644" t="s">
        <v>167</v>
      </c>
      <c r="L644" t="s">
        <v>2032</v>
      </c>
      <c r="M644" t="s">
        <v>45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169</v>
      </c>
      <c r="U644" t="s">
        <v>117</v>
      </c>
      <c r="V644" t="str">
        <f t="shared" si="99"/>
        <v>Valid</v>
      </c>
      <c r="W644">
        <f t="shared" si="100"/>
        <v>2</v>
      </c>
      <c r="Y644" t="str">
        <f t="shared" si="101"/>
        <v>OK</v>
      </c>
      <c r="Z644" t="str">
        <f t="shared" si="102"/>
        <v>OK</v>
      </c>
      <c r="AA644" t="str">
        <f t="shared" si="103"/>
        <v>OK</v>
      </c>
      <c r="AB644" t="str">
        <f t="shared" si="104"/>
        <v>Valid</v>
      </c>
      <c r="AC644" t="str">
        <f>IF(OR(AB644="Invalid Discount",V644="Invalid Shipping"),
"Invalid",
IF(OR(Y644="Missing Region",
Z644="Missing Ship Mode",
AA644="Missing Discount",
X644="Flagged for Review"),
"Warning",
"Clean"))</f>
        <v>Clean</v>
      </c>
      <c r="AD644">
        <f t="shared" si="105"/>
        <v>0.25</v>
      </c>
      <c r="AE644">
        <f>N644*O644*(1-AD644)</f>
        <v>8607.6674999999996</v>
      </c>
      <c r="AF644">
        <f>AE644-R644</f>
        <v>3270.0274999999992</v>
      </c>
      <c r="AG644" s="3">
        <f t="shared" si="106"/>
        <v>0.37989705108846261</v>
      </c>
      <c r="AH644" t="str">
        <f t="shared" si="107"/>
        <v>August</v>
      </c>
      <c r="AI644">
        <f t="shared" si="108"/>
        <v>2024</v>
      </c>
    </row>
    <row r="645" spans="1:35">
      <c r="A645" t="s">
        <v>2033</v>
      </c>
      <c r="B645" s="2">
        <v>45327</v>
      </c>
      <c r="C645" s="2">
        <v>45335</v>
      </c>
      <c r="D645" t="s">
        <v>735</v>
      </c>
      <c r="E645" t="s">
        <v>142</v>
      </c>
      <c r="F645" t="s">
        <v>109</v>
      </c>
      <c r="G645" t="s">
        <v>39</v>
      </c>
      <c r="H645" t="s">
        <v>150</v>
      </c>
      <c r="I645" t="s">
        <v>151</v>
      </c>
      <c r="J645" t="s">
        <v>42</v>
      </c>
      <c r="K645" t="s">
        <v>105</v>
      </c>
      <c r="L645" t="s">
        <v>2034</v>
      </c>
      <c r="M645" t="s">
        <v>73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169</v>
      </c>
      <c r="U645" t="s">
        <v>117</v>
      </c>
      <c r="V645" t="str">
        <f t="shared" si="99"/>
        <v>Valid</v>
      </c>
      <c r="W645">
        <f t="shared" si="100"/>
        <v>8</v>
      </c>
      <c r="Y645" t="str">
        <f t="shared" si="101"/>
        <v>OK</v>
      </c>
      <c r="Z645" t="str">
        <f t="shared" si="102"/>
        <v>OK</v>
      </c>
      <c r="AA645" t="str">
        <f t="shared" si="103"/>
        <v>OK</v>
      </c>
      <c r="AB645" t="str">
        <f t="shared" si="104"/>
        <v>Valid</v>
      </c>
      <c r="AC645" t="str">
        <f>IF(OR(AB645="Invalid Discount",V645="Invalid Shipping"),
"Invalid",
IF(OR(Y645="Missing Region",
Z645="Missing Ship Mode",
AA645="Missing Discount",
X645="Flagged for Review"),
"Warning",
"Clean"))</f>
        <v>Clean</v>
      </c>
      <c r="AD645">
        <f t="shared" si="105"/>
        <v>0.15</v>
      </c>
      <c r="AE645">
        <f>N645*O645*(1-AD645)</f>
        <v>26324.023999999998</v>
      </c>
      <c r="AF645">
        <f>AE645-R645</f>
        <v>10046.063999999998</v>
      </c>
      <c r="AG645" s="3">
        <f t="shared" si="106"/>
        <v>0.3816310150758106</v>
      </c>
      <c r="AH645" t="str">
        <f t="shared" si="107"/>
        <v>February</v>
      </c>
      <c r="AI645">
        <f t="shared" si="108"/>
        <v>2024</v>
      </c>
    </row>
    <row r="646" spans="1:35">
      <c r="A646" t="s">
        <v>2035</v>
      </c>
      <c r="B646" s="2">
        <v>45757</v>
      </c>
      <c r="C646" s="2">
        <v>45764</v>
      </c>
      <c r="D646" t="s">
        <v>2036</v>
      </c>
      <c r="E646" t="s">
        <v>85</v>
      </c>
      <c r="F646" t="s">
        <v>38</v>
      </c>
      <c r="G646" t="s">
        <v>52</v>
      </c>
      <c r="H646" t="s">
        <v>113</v>
      </c>
      <c r="I646" t="s">
        <v>114</v>
      </c>
      <c r="J646" t="s">
        <v>55</v>
      </c>
      <c r="K646" t="s">
        <v>80</v>
      </c>
      <c r="L646" t="s">
        <v>2037</v>
      </c>
      <c r="M646" t="s">
        <v>73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46</v>
      </c>
      <c r="U646" t="s">
        <v>47</v>
      </c>
      <c r="V646" t="str">
        <f t="shared" si="99"/>
        <v>Valid</v>
      </c>
      <c r="W646">
        <f t="shared" si="100"/>
        <v>7</v>
      </c>
      <c r="Y646" t="str">
        <f t="shared" si="101"/>
        <v>OK</v>
      </c>
      <c r="Z646" t="str">
        <f t="shared" si="102"/>
        <v>OK</v>
      </c>
      <c r="AA646" t="str">
        <f t="shared" si="103"/>
        <v>OK</v>
      </c>
      <c r="AB646" t="str">
        <f t="shared" si="104"/>
        <v>Valid</v>
      </c>
      <c r="AC646" t="str">
        <f>IF(OR(AB646="Invalid Discount",V646="Invalid Shipping"),
"Invalid",
IF(OR(Y646="Missing Region",
Z646="Missing Ship Mode",
AA646="Missing Discount",
X646="Flagged for Review"),
"Warning",
"Clean"))</f>
        <v>Clean</v>
      </c>
      <c r="AD646">
        <f t="shared" si="105"/>
        <v>0.05</v>
      </c>
      <c r="AE646">
        <f>N646*O646*(1-AD646)</f>
        <v>14250.075999999999</v>
      </c>
      <c r="AF646">
        <f>AE646-R646</f>
        <v>3335.155999999999</v>
      </c>
      <c r="AG646" s="3">
        <f t="shared" si="106"/>
        <v>0.23404478684885605</v>
      </c>
      <c r="AH646" t="str">
        <f t="shared" si="107"/>
        <v>April</v>
      </c>
      <c r="AI646">
        <f t="shared" si="108"/>
        <v>2025</v>
      </c>
    </row>
    <row r="647" spans="1:35">
      <c r="A647" t="s">
        <v>2038</v>
      </c>
      <c r="B647" s="2">
        <v>45295</v>
      </c>
      <c r="C647" s="2">
        <v>45300</v>
      </c>
      <c r="D647" t="s">
        <v>2039</v>
      </c>
      <c r="E647" t="s">
        <v>279</v>
      </c>
      <c r="F647" t="s">
        <v>38</v>
      </c>
      <c r="G647" t="s">
        <v>52</v>
      </c>
      <c r="H647" t="s">
        <v>159</v>
      </c>
      <c r="I647" t="s">
        <v>160</v>
      </c>
      <c r="J647" t="s">
        <v>55</v>
      </c>
      <c r="K647" t="s">
        <v>80</v>
      </c>
      <c r="L647" t="s">
        <v>2040</v>
      </c>
      <c r="M647" t="s">
        <v>45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46</v>
      </c>
      <c r="U647" t="s">
        <v>47</v>
      </c>
      <c r="V647" t="str">
        <f t="shared" si="99"/>
        <v>Valid</v>
      </c>
      <c r="W647">
        <f t="shared" si="100"/>
        <v>5</v>
      </c>
      <c r="Y647" t="str">
        <f t="shared" si="101"/>
        <v>OK</v>
      </c>
      <c r="Z647" t="str">
        <f t="shared" si="102"/>
        <v>OK</v>
      </c>
      <c r="AA647" t="str">
        <f t="shared" si="103"/>
        <v>OK</v>
      </c>
      <c r="AB647" t="str">
        <f t="shared" si="104"/>
        <v>Valid</v>
      </c>
      <c r="AC647" t="str">
        <f>IF(OR(AB647="Invalid Discount",V647="Invalid Shipping"),
"Invalid",
IF(OR(Y647="Missing Region",
Z647="Missing Ship Mode",
AA647="Missing Discount",
X647="Flagged for Review"),
"Warning",
"Clean"))</f>
        <v>Clean</v>
      </c>
      <c r="AD647">
        <f t="shared" si="105"/>
        <v>0.1</v>
      </c>
      <c r="AE647">
        <f>N647*O647*(1-AD647)</f>
        <v>13087.494000000001</v>
      </c>
      <c r="AF647">
        <f>AE647-R647</f>
        <v>5478.6040000000003</v>
      </c>
      <c r="AG647" s="3">
        <f t="shared" si="106"/>
        <v>0.41861367806548755</v>
      </c>
      <c r="AH647" t="str">
        <f t="shared" si="107"/>
        <v>January</v>
      </c>
      <c r="AI647">
        <f t="shared" si="108"/>
        <v>2024</v>
      </c>
    </row>
    <row r="648" spans="1:35">
      <c r="A648" t="s">
        <v>2041</v>
      </c>
      <c r="B648" s="2">
        <v>45553</v>
      </c>
      <c r="C648" s="2">
        <v>45559</v>
      </c>
      <c r="D648" t="s">
        <v>2042</v>
      </c>
      <c r="E648" t="s">
        <v>85</v>
      </c>
      <c r="F648" t="s">
        <v>51</v>
      </c>
      <c r="G648" t="s">
        <v>52</v>
      </c>
      <c r="H648" t="s">
        <v>243</v>
      </c>
      <c r="I648" t="s">
        <v>244</v>
      </c>
      <c r="J648" t="s">
        <v>88</v>
      </c>
      <c r="K648" t="s">
        <v>289</v>
      </c>
      <c r="L648" t="s">
        <v>2043</v>
      </c>
      <c r="M648" t="s">
        <v>64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46</v>
      </c>
      <c r="U648" t="s">
        <v>47</v>
      </c>
      <c r="V648" t="str">
        <f t="shared" si="99"/>
        <v>Valid</v>
      </c>
      <c r="W648">
        <f t="shared" si="100"/>
        <v>6</v>
      </c>
      <c r="Y648" t="str">
        <f t="shared" si="101"/>
        <v>OK</v>
      </c>
      <c r="Z648" t="str">
        <f t="shared" si="102"/>
        <v>OK</v>
      </c>
      <c r="AA648" t="str">
        <f t="shared" si="103"/>
        <v>OK</v>
      </c>
      <c r="AB648" t="str">
        <f t="shared" si="104"/>
        <v>Valid</v>
      </c>
      <c r="AC648" t="str">
        <f>IF(OR(AB648="Invalid Discount",V648="Invalid Shipping"),
"Invalid",
IF(OR(Y648="Missing Region",
Z648="Missing Ship Mode",
AA648="Missing Discount",
X648="Flagged for Review"),
"Warning",
"Clean"))</f>
        <v>Clean</v>
      </c>
      <c r="AD648">
        <f t="shared" si="105"/>
        <v>0.25</v>
      </c>
      <c r="AE648">
        <f>N648*O648*(1-AD648)</f>
        <v>1640.5650000000001</v>
      </c>
      <c r="AF648">
        <f>AE648-R648</f>
        <v>503.58500000000004</v>
      </c>
      <c r="AG648" s="3">
        <f t="shared" si="106"/>
        <v>0.30695827352162214</v>
      </c>
      <c r="AH648" t="str">
        <f t="shared" si="107"/>
        <v>September</v>
      </c>
      <c r="AI648">
        <f t="shared" si="108"/>
        <v>2024</v>
      </c>
    </row>
    <row r="649" spans="1:35">
      <c r="A649" t="s">
        <v>2044</v>
      </c>
      <c r="B649" s="2">
        <v>45658</v>
      </c>
      <c r="C649" s="2">
        <v>45666</v>
      </c>
      <c r="D649" t="s">
        <v>2045</v>
      </c>
      <c r="E649" t="s">
        <v>155</v>
      </c>
      <c r="F649" t="s">
        <v>51</v>
      </c>
      <c r="G649" t="s">
        <v>39</v>
      </c>
      <c r="H649" t="s">
        <v>136</v>
      </c>
      <c r="I649" t="s">
        <v>137</v>
      </c>
      <c r="J649" t="s">
        <v>42</v>
      </c>
      <c r="K649" t="s">
        <v>62</v>
      </c>
      <c r="L649" t="s">
        <v>2046</v>
      </c>
      <c r="M649" t="s">
        <v>64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46</v>
      </c>
      <c r="U649" t="s">
        <v>47</v>
      </c>
      <c r="V649" t="str">
        <f t="shared" si="99"/>
        <v>Valid</v>
      </c>
      <c r="W649">
        <f t="shared" si="100"/>
        <v>8</v>
      </c>
      <c r="Y649" t="str">
        <f t="shared" si="101"/>
        <v>OK</v>
      </c>
      <c r="Z649" t="str">
        <f t="shared" si="102"/>
        <v>OK</v>
      </c>
      <c r="AA649" t="str">
        <f t="shared" si="103"/>
        <v>OK</v>
      </c>
      <c r="AB649" t="str">
        <f t="shared" si="104"/>
        <v>Valid</v>
      </c>
      <c r="AC649" t="str">
        <f>IF(OR(AB649="Invalid Discount",V649="Invalid Shipping"),
"Invalid",
IF(OR(Y649="Missing Region",
Z649="Missing Ship Mode",
AA649="Missing Discount",
X649="Flagged for Review"),
"Warning",
"Clean"))</f>
        <v>Clean</v>
      </c>
      <c r="AD649">
        <f t="shared" si="105"/>
        <v>0.15</v>
      </c>
      <c r="AE649">
        <f>N649*O649*(1-AD649)</f>
        <v>14441.907999999999</v>
      </c>
      <c r="AF649">
        <f>AE649-R649</f>
        <v>3569.018</v>
      </c>
      <c r="AG649" s="3">
        <f t="shared" si="106"/>
        <v>0.24712925743606731</v>
      </c>
      <c r="AH649" t="str">
        <f t="shared" si="107"/>
        <v>January</v>
      </c>
      <c r="AI649">
        <f t="shared" si="108"/>
        <v>2025</v>
      </c>
    </row>
    <row r="650" spans="1:35">
      <c r="A650" t="s">
        <v>2047</v>
      </c>
      <c r="B650" s="2">
        <v>45403</v>
      </c>
      <c r="C650" s="2">
        <v>45406</v>
      </c>
      <c r="D650" t="s">
        <v>2048</v>
      </c>
      <c r="E650" t="s">
        <v>93</v>
      </c>
      <c r="F650" t="s">
        <v>51</v>
      </c>
      <c r="G650" t="s">
        <v>68</v>
      </c>
      <c r="H650" t="s">
        <v>98</v>
      </c>
      <c r="I650" t="s">
        <v>99</v>
      </c>
      <c r="J650" t="s">
        <v>42</v>
      </c>
      <c r="K650" t="s">
        <v>62</v>
      </c>
      <c r="L650" t="s">
        <v>2049</v>
      </c>
      <c r="M650" t="s">
        <v>58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169</v>
      </c>
      <c r="U650" t="s">
        <v>117</v>
      </c>
      <c r="V650" t="str">
        <f t="shared" si="99"/>
        <v>Valid</v>
      </c>
      <c r="W650">
        <f t="shared" si="100"/>
        <v>3</v>
      </c>
      <c r="Y650" t="str">
        <f t="shared" si="101"/>
        <v>OK</v>
      </c>
      <c r="Z650" t="str">
        <f t="shared" si="102"/>
        <v>OK</v>
      </c>
      <c r="AA650" t="str">
        <f t="shared" si="103"/>
        <v>OK</v>
      </c>
      <c r="AB650" t="str">
        <f t="shared" si="104"/>
        <v>Valid</v>
      </c>
      <c r="AC650" t="str">
        <f>IF(OR(AB650="Invalid Discount",V650="Invalid Shipping"),
"Invalid",
IF(OR(Y650="Missing Region",
Z650="Missing Ship Mode",
AA650="Missing Discount",
X650="Flagged for Review"),
"Warning",
"Clean"))</f>
        <v>Clean</v>
      </c>
      <c r="AD650">
        <f t="shared" si="105"/>
        <v>0.2</v>
      </c>
      <c r="AE650">
        <f>N650*O650*(1-AD650)</f>
        <v>5065.8480000000009</v>
      </c>
      <c r="AF650">
        <f>AE650-R650</f>
        <v>1548.6180000000008</v>
      </c>
      <c r="AG650" s="3">
        <f t="shared" si="106"/>
        <v>0.30569768378364304</v>
      </c>
      <c r="AH650" t="str">
        <f t="shared" si="107"/>
        <v>April</v>
      </c>
      <c r="AI650">
        <f t="shared" si="108"/>
        <v>2024</v>
      </c>
    </row>
    <row r="651" spans="1:35">
      <c r="A651" t="s">
        <v>2050</v>
      </c>
      <c r="B651" s="2">
        <v>45880</v>
      </c>
      <c r="C651" s="2">
        <v>45888</v>
      </c>
      <c r="D651" t="s">
        <v>2051</v>
      </c>
      <c r="E651" t="s">
        <v>279</v>
      </c>
      <c r="F651" t="s">
        <v>51</v>
      </c>
      <c r="G651" t="s">
        <v>68</v>
      </c>
      <c r="H651" t="s">
        <v>199</v>
      </c>
      <c r="I651" t="s">
        <v>200</v>
      </c>
      <c r="J651" t="s">
        <v>88</v>
      </c>
      <c r="K651" t="s">
        <v>89</v>
      </c>
      <c r="L651" t="s">
        <v>2052</v>
      </c>
      <c r="M651" t="s">
        <v>73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46</v>
      </c>
      <c r="U651" t="s">
        <v>47</v>
      </c>
      <c r="V651" t="str">
        <f t="shared" si="99"/>
        <v>Valid</v>
      </c>
      <c r="W651">
        <f t="shared" si="100"/>
        <v>8</v>
      </c>
      <c r="Y651" t="str">
        <f t="shared" si="101"/>
        <v>OK</v>
      </c>
      <c r="Z651" t="str">
        <f t="shared" si="102"/>
        <v>OK</v>
      </c>
      <c r="AA651" t="str">
        <f t="shared" si="103"/>
        <v>OK</v>
      </c>
      <c r="AB651" t="str">
        <f t="shared" si="104"/>
        <v>Valid</v>
      </c>
      <c r="AC651" t="str">
        <f>IF(OR(AB651="Invalid Discount",V651="Invalid Shipping"),
"Invalid",
IF(OR(Y651="Missing Region",
Z651="Missing Ship Mode",
AA651="Missing Discount",
X651="Flagged for Review"),
"Warning",
"Clean"))</f>
        <v>Clean</v>
      </c>
      <c r="AD651">
        <f t="shared" si="105"/>
        <v>0.25</v>
      </c>
      <c r="AE651">
        <f>N651*O651*(1-AD651)</f>
        <v>6776.88</v>
      </c>
      <c r="AF651">
        <f>AE651-R651</f>
        <v>2940.6400000000003</v>
      </c>
      <c r="AG651" s="3">
        <f t="shared" si="106"/>
        <v>0.43392239496641527</v>
      </c>
      <c r="AH651" t="str">
        <f t="shared" si="107"/>
        <v>August</v>
      </c>
      <c r="AI651">
        <f t="shared" si="108"/>
        <v>2025</v>
      </c>
    </row>
    <row r="652" spans="1:35">
      <c r="A652" t="s">
        <v>2053</v>
      </c>
      <c r="B652" s="2">
        <v>45395</v>
      </c>
      <c r="C652" s="2">
        <v>45403</v>
      </c>
      <c r="D652" t="s">
        <v>393</v>
      </c>
      <c r="E652" t="s">
        <v>142</v>
      </c>
      <c r="F652" t="s">
        <v>109</v>
      </c>
      <c r="G652" t="s">
        <v>52</v>
      </c>
      <c r="H652" t="s">
        <v>159</v>
      </c>
      <c r="I652" t="s">
        <v>160</v>
      </c>
      <c r="J652" t="s">
        <v>88</v>
      </c>
      <c r="K652" t="s">
        <v>89</v>
      </c>
      <c r="L652" t="s">
        <v>2054</v>
      </c>
      <c r="M652" t="s">
        <v>58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169</v>
      </c>
      <c r="U652" t="s">
        <v>117</v>
      </c>
      <c r="V652" t="str">
        <f t="shared" si="99"/>
        <v>Valid</v>
      </c>
      <c r="W652">
        <f t="shared" si="100"/>
        <v>8</v>
      </c>
      <c r="Y652" t="str">
        <f t="shared" si="101"/>
        <v>OK</v>
      </c>
      <c r="Z652" t="str">
        <f t="shared" si="102"/>
        <v>OK</v>
      </c>
      <c r="AA652" t="str">
        <f t="shared" si="103"/>
        <v>OK</v>
      </c>
      <c r="AB652" t="str">
        <f t="shared" si="104"/>
        <v>Valid</v>
      </c>
      <c r="AC652" t="str">
        <f>IF(OR(AB652="Invalid Discount",V652="Invalid Shipping"),
"Invalid",
IF(OR(Y652="Missing Region",
Z652="Missing Ship Mode",
AA652="Missing Discount",
X652="Flagged for Review"),
"Warning",
"Clean"))</f>
        <v>Clean</v>
      </c>
      <c r="AD652">
        <f t="shared" si="105"/>
        <v>0.15</v>
      </c>
      <c r="AE652">
        <f>N652*O652*(1-AD652)</f>
        <v>15760.121999999999</v>
      </c>
      <c r="AF652">
        <f>AE652-R652</f>
        <v>5828.5919999999987</v>
      </c>
      <c r="AG652" s="3">
        <f t="shared" si="106"/>
        <v>0.36983165485647884</v>
      </c>
      <c r="AH652" t="str">
        <f t="shared" si="107"/>
        <v>April</v>
      </c>
      <c r="AI652">
        <f t="shared" si="108"/>
        <v>2024</v>
      </c>
    </row>
    <row r="653" spans="1:35">
      <c r="A653" t="s">
        <v>2055</v>
      </c>
      <c r="B653" s="2">
        <v>45875</v>
      </c>
      <c r="C653" s="2">
        <v>45878</v>
      </c>
      <c r="D653" t="s">
        <v>2056</v>
      </c>
      <c r="E653" t="s">
        <v>50</v>
      </c>
      <c r="F653" t="s">
        <v>51</v>
      </c>
      <c r="G653" t="s">
        <v>68</v>
      </c>
      <c r="H653" t="s">
        <v>98</v>
      </c>
      <c r="I653" t="s">
        <v>99</v>
      </c>
      <c r="J653" t="s">
        <v>42</v>
      </c>
      <c r="K653" t="s">
        <v>43</v>
      </c>
      <c r="L653" t="s">
        <v>2057</v>
      </c>
      <c r="M653" t="s">
        <v>45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46</v>
      </c>
      <c r="U653" t="s">
        <v>47</v>
      </c>
      <c r="V653" t="str">
        <f t="shared" si="99"/>
        <v>Valid</v>
      </c>
      <c r="W653">
        <f t="shared" si="100"/>
        <v>3</v>
      </c>
      <c r="Y653" t="str">
        <f t="shared" si="101"/>
        <v>OK</v>
      </c>
      <c r="Z653" t="str">
        <f t="shared" si="102"/>
        <v>OK</v>
      </c>
      <c r="AA653" t="str">
        <f t="shared" si="103"/>
        <v>OK</v>
      </c>
      <c r="AB653" t="str">
        <f t="shared" si="104"/>
        <v>Valid</v>
      </c>
      <c r="AC653" t="str">
        <f>IF(OR(AB653="Invalid Discount",V653="Invalid Shipping"),
"Invalid",
IF(OR(Y653="Missing Region",
Z653="Missing Ship Mode",
AA653="Missing Discount",
X653="Flagged for Review"),
"Warning",
"Clean"))</f>
        <v>Clean</v>
      </c>
      <c r="AD653">
        <f t="shared" si="105"/>
        <v>0</v>
      </c>
      <c r="AE653">
        <f>N653*O653*(1-AD653)</f>
        <v>1795.6499999999999</v>
      </c>
      <c r="AF653">
        <f>AE653-R653</f>
        <v>798.92999999999984</v>
      </c>
      <c r="AG653" s="3">
        <f t="shared" si="106"/>
        <v>0.44492523598696843</v>
      </c>
      <c r="AH653" t="str">
        <f t="shared" si="107"/>
        <v>August</v>
      </c>
      <c r="AI653">
        <f t="shared" si="108"/>
        <v>2025</v>
      </c>
    </row>
    <row r="654" spans="1:35">
      <c r="A654" t="s">
        <v>2058</v>
      </c>
      <c r="B654" s="2">
        <v>45733</v>
      </c>
      <c r="C654" s="2">
        <v>45737</v>
      </c>
      <c r="D654" t="s">
        <v>1702</v>
      </c>
      <c r="E654" t="s">
        <v>146</v>
      </c>
      <c r="F654" t="s">
        <v>38</v>
      </c>
      <c r="G654" t="s">
        <v>39</v>
      </c>
      <c r="H654" t="s">
        <v>150</v>
      </c>
      <c r="I654" t="s">
        <v>151</v>
      </c>
      <c r="J654" t="s">
        <v>42</v>
      </c>
      <c r="K654" t="s">
        <v>167</v>
      </c>
      <c r="L654" t="s">
        <v>2059</v>
      </c>
      <c r="M654" t="s">
        <v>73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46</v>
      </c>
      <c r="U654" t="s">
        <v>47</v>
      </c>
      <c r="V654" t="str">
        <f t="shared" si="99"/>
        <v>Valid</v>
      </c>
      <c r="W654">
        <f t="shared" si="100"/>
        <v>4</v>
      </c>
      <c r="Y654" t="str">
        <f t="shared" si="101"/>
        <v>OK</v>
      </c>
      <c r="Z654" t="str">
        <f t="shared" si="102"/>
        <v>OK</v>
      </c>
      <c r="AA654" t="str">
        <f t="shared" si="103"/>
        <v>OK</v>
      </c>
      <c r="AB654" t="str">
        <f t="shared" si="104"/>
        <v>Valid</v>
      </c>
      <c r="AC654" t="str">
        <f>IF(OR(AB654="Invalid Discount",V654="Invalid Shipping"),
"Invalid",
IF(OR(Y654="Missing Region",
Z654="Missing Ship Mode",
AA654="Missing Discount",
X654="Flagged for Review"),
"Warning",
"Clean"))</f>
        <v>Clean</v>
      </c>
      <c r="AD654">
        <f t="shared" si="105"/>
        <v>0.15</v>
      </c>
      <c r="AE654">
        <f>N654*O654*(1-AD654)</f>
        <v>18362.5075</v>
      </c>
      <c r="AF654">
        <f>AE654-R654</f>
        <v>7228.5375000000004</v>
      </c>
      <c r="AG654" s="3">
        <f t="shared" si="106"/>
        <v>0.39365742941153326</v>
      </c>
      <c r="AH654" t="str">
        <f t="shared" si="107"/>
        <v>March</v>
      </c>
      <c r="AI654">
        <f t="shared" si="108"/>
        <v>2025</v>
      </c>
    </row>
    <row r="655" spans="1:35">
      <c r="A655" t="s">
        <v>2060</v>
      </c>
      <c r="B655" s="2">
        <v>45751</v>
      </c>
      <c r="C655" s="2">
        <v>45754</v>
      </c>
      <c r="D655" t="s">
        <v>2061</v>
      </c>
      <c r="E655" t="s">
        <v>128</v>
      </c>
      <c r="F655" t="s">
        <v>51</v>
      </c>
      <c r="G655" t="s">
        <v>68</v>
      </c>
      <c r="H655" t="s">
        <v>262</v>
      </c>
      <c r="I655" t="s">
        <v>263</v>
      </c>
      <c r="J655" t="s">
        <v>88</v>
      </c>
      <c r="K655" t="s">
        <v>94</v>
      </c>
      <c r="L655" t="s">
        <v>2062</v>
      </c>
      <c r="M655" t="s">
        <v>45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46</v>
      </c>
      <c r="U655" t="s">
        <v>47</v>
      </c>
      <c r="V655" t="str">
        <f t="shared" si="99"/>
        <v>Valid</v>
      </c>
      <c r="W655">
        <f t="shared" si="100"/>
        <v>3</v>
      </c>
      <c r="Y655" t="str">
        <f t="shared" si="101"/>
        <v>OK</v>
      </c>
      <c r="Z655" t="str">
        <f t="shared" si="102"/>
        <v>OK</v>
      </c>
      <c r="AA655" t="str">
        <f t="shared" si="103"/>
        <v>OK</v>
      </c>
      <c r="AB655" t="str">
        <f t="shared" si="104"/>
        <v>Valid</v>
      </c>
      <c r="AC655" t="str">
        <f>IF(OR(AB655="Invalid Discount",V655="Invalid Shipping"),
"Invalid",
IF(OR(Y655="Missing Region",
Z655="Missing Ship Mode",
AA655="Missing Discount",
X655="Flagged for Review"),
"Warning",
"Clean"))</f>
        <v>Clean</v>
      </c>
      <c r="AD655">
        <f t="shared" si="105"/>
        <v>0.15</v>
      </c>
      <c r="AE655">
        <f>N655*O655*(1-AD655)</f>
        <v>26524.683500000003</v>
      </c>
      <c r="AF655">
        <f>AE655-R655</f>
        <v>5950.3835000000036</v>
      </c>
      <c r="AG655" s="3">
        <f t="shared" si="106"/>
        <v>0.22433381721595294</v>
      </c>
      <c r="AH655" t="str">
        <f t="shared" si="107"/>
        <v>April</v>
      </c>
      <c r="AI655">
        <f t="shared" si="108"/>
        <v>2025</v>
      </c>
    </row>
    <row r="656" spans="1:35">
      <c r="A656" t="s">
        <v>2063</v>
      </c>
      <c r="B656" s="2">
        <v>45942</v>
      </c>
      <c r="C656" s="2">
        <v>45946</v>
      </c>
      <c r="D656" t="s">
        <v>941</v>
      </c>
      <c r="E656" t="s">
        <v>176</v>
      </c>
      <c r="F656" t="s">
        <v>104</v>
      </c>
      <c r="G656" t="s">
        <v>52</v>
      </c>
      <c r="H656" t="s">
        <v>159</v>
      </c>
      <c r="I656" t="s">
        <v>160</v>
      </c>
      <c r="J656" t="s">
        <v>88</v>
      </c>
      <c r="K656" t="s">
        <v>289</v>
      </c>
      <c r="L656" t="s">
        <v>2064</v>
      </c>
      <c r="M656" t="s">
        <v>58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46</v>
      </c>
      <c r="U656" t="s">
        <v>47</v>
      </c>
      <c r="V656" t="str">
        <f t="shared" si="99"/>
        <v>Valid</v>
      </c>
      <c r="W656">
        <f t="shared" si="100"/>
        <v>4</v>
      </c>
      <c r="Y656" t="str">
        <f t="shared" si="101"/>
        <v>OK</v>
      </c>
      <c r="Z656" t="str">
        <f t="shared" si="102"/>
        <v>OK</v>
      </c>
      <c r="AA656" t="str">
        <f t="shared" si="103"/>
        <v>OK</v>
      </c>
      <c r="AB656" t="str">
        <f t="shared" si="104"/>
        <v>Valid</v>
      </c>
      <c r="AC656" t="str">
        <f>IF(OR(AB656="Invalid Discount",V656="Invalid Shipping"),
"Invalid",
IF(OR(Y656="Missing Region",
Z656="Missing Ship Mode",
AA656="Missing Discount",
X656="Flagged for Review"),
"Warning",
"Clean"))</f>
        <v>Clean</v>
      </c>
      <c r="AD656">
        <f t="shared" si="105"/>
        <v>0.2</v>
      </c>
      <c r="AE656">
        <f>N656*O656*(1-AD656)</f>
        <v>2056.0480000000002</v>
      </c>
      <c r="AF656">
        <f>AE656-R656</f>
        <v>393.65800000000013</v>
      </c>
      <c r="AG656" s="3">
        <f t="shared" si="106"/>
        <v>0.19146342886936496</v>
      </c>
      <c r="AH656" t="str">
        <f t="shared" si="107"/>
        <v>October</v>
      </c>
      <c r="AI656">
        <f t="shared" si="108"/>
        <v>2025</v>
      </c>
    </row>
    <row r="657" spans="1:35">
      <c r="A657" t="s">
        <v>2065</v>
      </c>
      <c r="B657" s="2">
        <v>45895</v>
      </c>
      <c r="C657" s="2">
        <v>45895</v>
      </c>
      <c r="D657" t="s">
        <v>2066</v>
      </c>
      <c r="E657" t="s">
        <v>93</v>
      </c>
      <c r="F657" t="s">
        <v>109</v>
      </c>
      <c r="G657" t="s">
        <v>52</v>
      </c>
      <c r="H657" t="s">
        <v>113</v>
      </c>
      <c r="I657" t="s">
        <v>114</v>
      </c>
      <c r="J657" t="s">
        <v>55</v>
      </c>
      <c r="K657" t="s">
        <v>71</v>
      </c>
      <c r="L657" t="s">
        <v>2067</v>
      </c>
      <c r="M657" t="s">
        <v>73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46</v>
      </c>
      <c r="U657" t="s">
        <v>47</v>
      </c>
      <c r="V657" t="str">
        <f t="shared" si="99"/>
        <v>Valid</v>
      </c>
      <c r="W657">
        <f t="shared" si="100"/>
        <v>0</v>
      </c>
      <c r="Y657" t="str">
        <f t="shared" si="101"/>
        <v>OK</v>
      </c>
      <c r="Z657" t="str">
        <f t="shared" si="102"/>
        <v>OK</v>
      </c>
      <c r="AA657" t="str">
        <f t="shared" si="103"/>
        <v>OK</v>
      </c>
      <c r="AB657" t="str">
        <f t="shared" si="104"/>
        <v>Valid</v>
      </c>
      <c r="AC657" t="str">
        <f>IF(OR(AB657="Invalid Discount",V657="Invalid Shipping"),
"Invalid",
IF(OR(Y657="Missing Region",
Z657="Missing Ship Mode",
AA657="Missing Discount",
X657="Flagged for Review"),
"Warning",
"Clean"))</f>
        <v>Clean</v>
      </c>
      <c r="AD657">
        <f t="shared" si="105"/>
        <v>0</v>
      </c>
      <c r="AE657">
        <f>N657*O657*(1-AD657)</f>
        <v>8607.2800000000007</v>
      </c>
      <c r="AF657">
        <f>AE657-R657</f>
        <v>3483.2700000000004</v>
      </c>
      <c r="AG657" s="3">
        <f t="shared" si="106"/>
        <v>0.40468882155570635</v>
      </c>
      <c r="AH657" t="str">
        <f t="shared" si="107"/>
        <v>August</v>
      </c>
      <c r="AI657">
        <f t="shared" si="108"/>
        <v>2025</v>
      </c>
    </row>
    <row r="658" spans="1:35">
      <c r="A658" t="s">
        <v>2068</v>
      </c>
      <c r="B658" s="2">
        <v>45419</v>
      </c>
      <c r="C658" s="2">
        <v>45426</v>
      </c>
      <c r="D658" t="s">
        <v>2069</v>
      </c>
      <c r="E658" t="s">
        <v>93</v>
      </c>
      <c r="F658" t="s">
        <v>51</v>
      </c>
      <c r="G658" t="s">
        <v>39</v>
      </c>
      <c r="H658" t="s">
        <v>251</v>
      </c>
      <c r="I658" t="s">
        <v>252</v>
      </c>
      <c r="J658" t="s">
        <v>88</v>
      </c>
      <c r="K658" t="s">
        <v>289</v>
      </c>
      <c r="L658" t="s">
        <v>2070</v>
      </c>
      <c r="M658" t="s">
        <v>58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46</v>
      </c>
      <c r="U658" t="s">
        <v>47</v>
      </c>
      <c r="V658" t="str">
        <f t="shared" si="99"/>
        <v>Valid</v>
      </c>
      <c r="W658">
        <f t="shared" si="100"/>
        <v>7</v>
      </c>
      <c r="Y658" t="str">
        <f t="shared" si="101"/>
        <v>OK</v>
      </c>
      <c r="Z658" t="str">
        <f t="shared" si="102"/>
        <v>OK</v>
      </c>
      <c r="AA658" t="str">
        <f t="shared" si="103"/>
        <v>OK</v>
      </c>
      <c r="AB658" t="str">
        <f t="shared" si="104"/>
        <v>Invalid Discount</v>
      </c>
      <c r="AC658" t="str">
        <f>IF(OR(AB658="Invalid Discount",V658="Invalid Shipping"),
"Invalid",
IF(OR(Y658="Missing Region",
Z658="Missing Ship Mode",
AA658="Missing Discount",
X658="Flagged for Review"),
"Warning",
"Clean"))</f>
        <v>Invalid</v>
      </c>
      <c r="AD658">
        <f t="shared" si="105"/>
        <v>-0.05</v>
      </c>
      <c r="AE658">
        <f>N658*O658*(1-AD658)</f>
        <v>11554.62</v>
      </c>
      <c r="AF658">
        <f>AE658-R658</f>
        <v>3858.3400000000011</v>
      </c>
      <c r="AG658" s="3">
        <f t="shared" si="106"/>
        <v>0.33392184251840396</v>
      </c>
      <c r="AH658" t="str">
        <f t="shared" si="107"/>
        <v>May</v>
      </c>
      <c r="AI658">
        <f t="shared" si="108"/>
        <v>2024</v>
      </c>
    </row>
    <row r="659" spans="1:35">
      <c r="A659" t="s">
        <v>2071</v>
      </c>
      <c r="B659" s="2">
        <v>45876</v>
      </c>
      <c r="C659" s="2">
        <v>45879</v>
      </c>
      <c r="D659" t="s">
        <v>2072</v>
      </c>
      <c r="E659" t="s">
        <v>103</v>
      </c>
      <c r="F659" t="s">
        <v>109</v>
      </c>
      <c r="G659" t="s">
        <v>52</v>
      </c>
      <c r="H659" t="s">
        <v>159</v>
      </c>
      <c r="I659" t="s">
        <v>160</v>
      </c>
      <c r="J659" t="s">
        <v>42</v>
      </c>
      <c r="K659" t="s">
        <v>138</v>
      </c>
      <c r="L659" t="s">
        <v>2073</v>
      </c>
      <c r="M659" t="s">
        <v>45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46</v>
      </c>
      <c r="U659" t="s">
        <v>47</v>
      </c>
      <c r="V659" t="str">
        <f t="shared" si="99"/>
        <v>Valid</v>
      </c>
      <c r="W659">
        <f t="shared" si="100"/>
        <v>3</v>
      </c>
      <c r="Y659" t="str">
        <f t="shared" si="101"/>
        <v>OK</v>
      </c>
      <c r="Z659" t="str">
        <f t="shared" si="102"/>
        <v>OK</v>
      </c>
      <c r="AA659" t="str">
        <f t="shared" si="103"/>
        <v>OK</v>
      </c>
      <c r="AB659" t="str">
        <f t="shared" si="104"/>
        <v>Valid</v>
      </c>
      <c r="AC659" t="str">
        <f>IF(OR(AB659="Invalid Discount",V659="Invalid Shipping"),
"Invalid",
IF(OR(Y659="Missing Region",
Z659="Missing Ship Mode",
AA659="Missing Discount",
X659="Flagged for Review"),
"Warning",
"Clean"))</f>
        <v>Clean</v>
      </c>
      <c r="AD659">
        <f t="shared" si="105"/>
        <v>0.2</v>
      </c>
      <c r="AE659">
        <f>N659*O659*(1-AD659)</f>
        <v>2033</v>
      </c>
      <c r="AF659">
        <f>AE659-R659</f>
        <v>741.58999999999992</v>
      </c>
      <c r="AG659" s="3">
        <f t="shared" si="106"/>
        <v>0.36477619281849477</v>
      </c>
      <c r="AH659" t="str">
        <f t="shared" si="107"/>
        <v>August</v>
      </c>
      <c r="AI659">
        <f t="shared" si="108"/>
        <v>2025</v>
      </c>
    </row>
    <row r="660" spans="1:35">
      <c r="A660" t="s">
        <v>2074</v>
      </c>
      <c r="B660" s="2">
        <v>45817</v>
      </c>
      <c r="C660" s="2">
        <v>45820</v>
      </c>
      <c r="D660" t="s">
        <v>2075</v>
      </c>
      <c r="E660" t="s">
        <v>146</v>
      </c>
      <c r="F660" t="s">
        <v>38</v>
      </c>
      <c r="G660" t="s">
        <v>219</v>
      </c>
      <c r="H660" t="s">
        <v>159</v>
      </c>
      <c r="I660" t="s">
        <v>160</v>
      </c>
      <c r="J660" t="s">
        <v>42</v>
      </c>
      <c r="K660" t="s">
        <v>62</v>
      </c>
      <c r="L660" t="s">
        <v>2076</v>
      </c>
      <c r="M660" t="s">
        <v>64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116</v>
      </c>
      <c r="U660" t="s">
        <v>82</v>
      </c>
      <c r="V660" t="str">
        <f t="shared" si="99"/>
        <v>Valid</v>
      </c>
      <c r="W660">
        <f t="shared" si="100"/>
        <v>3</v>
      </c>
      <c r="Y660" t="str">
        <f t="shared" si="101"/>
        <v>Missing Region</v>
      </c>
      <c r="Z660" t="str">
        <f t="shared" si="102"/>
        <v>OK</v>
      </c>
      <c r="AA660" t="str">
        <f t="shared" si="103"/>
        <v>OK</v>
      </c>
      <c r="AB660" t="str">
        <f t="shared" si="104"/>
        <v>Valid</v>
      </c>
      <c r="AC660" t="str">
        <f>IF(OR(AB660="Invalid Discount",V660="Invalid Shipping"),
"Invalid",
IF(OR(Y660="Missing Region",
Z660="Missing Ship Mode",
AA660="Missing Discount",
X660="Flagged for Review"),
"Warning",
"Clean"))</f>
        <v>Warning</v>
      </c>
      <c r="AD660">
        <f t="shared" si="105"/>
        <v>0</v>
      </c>
      <c r="AE660">
        <f>N660*O660*(1-AD660)</f>
        <v>19966.940000000002</v>
      </c>
      <c r="AF660">
        <f>AE660-R660</f>
        <v>7276.1100000000024</v>
      </c>
      <c r="AG660" s="3">
        <f t="shared" si="106"/>
        <v>0.36440786620283339</v>
      </c>
      <c r="AH660" t="str">
        <f t="shared" si="107"/>
        <v>June</v>
      </c>
      <c r="AI660">
        <f t="shared" si="108"/>
        <v>2025</v>
      </c>
    </row>
    <row r="661" spans="1:35">
      <c r="A661" t="s">
        <v>2077</v>
      </c>
      <c r="B661" s="2">
        <v>45678</v>
      </c>
      <c r="C661" s="2">
        <v>45679</v>
      </c>
      <c r="D661" t="s">
        <v>2078</v>
      </c>
      <c r="E661" t="s">
        <v>176</v>
      </c>
      <c r="F661" t="s">
        <v>104</v>
      </c>
      <c r="G661" t="s">
        <v>68</v>
      </c>
      <c r="H661" t="s">
        <v>189</v>
      </c>
      <c r="I661" t="s">
        <v>190</v>
      </c>
      <c r="J661" t="s">
        <v>88</v>
      </c>
      <c r="K661" t="s">
        <v>185</v>
      </c>
      <c r="L661" t="s">
        <v>2079</v>
      </c>
      <c r="M661" t="s">
        <v>45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116</v>
      </c>
      <c r="U661" t="s">
        <v>82</v>
      </c>
      <c r="V661" t="str">
        <f t="shared" si="99"/>
        <v>Valid</v>
      </c>
      <c r="W661">
        <f t="shared" si="100"/>
        <v>1</v>
      </c>
      <c r="Y661" t="str">
        <f t="shared" si="101"/>
        <v>OK</v>
      </c>
      <c r="Z661" t="str">
        <f t="shared" si="102"/>
        <v>OK</v>
      </c>
      <c r="AA661" t="str">
        <f t="shared" si="103"/>
        <v>OK</v>
      </c>
      <c r="AB661" t="str">
        <f t="shared" si="104"/>
        <v>Valid</v>
      </c>
      <c r="AC661" t="str">
        <f>IF(OR(AB661="Invalid Discount",V661="Invalid Shipping"),
"Invalid",
IF(OR(Y661="Missing Region",
Z661="Missing Ship Mode",
AA661="Missing Discount",
X661="Flagged for Review"),
"Warning",
"Clean"))</f>
        <v>Clean</v>
      </c>
      <c r="AD661">
        <f t="shared" si="105"/>
        <v>0.2</v>
      </c>
      <c r="AE661">
        <f>N661*O661*(1-AD661)</f>
        <v>710.89600000000007</v>
      </c>
      <c r="AF661">
        <f>AE661-R661</f>
        <v>197.01600000000008</v>
      </c>
      <c r="AG661" s="3">
        <f t="shared" si="106"/>
        <v>0.27713758411919615</v>
      </c>
      <c r="AH661" t="str">
        <f t="shared" si="107"/>
        <v>January</v>
      </c>
      <c r="AI661">
        <f t="shared" si="108"/>
        <v>2025</v>
      </c>
    </row>
    <row r="662" spans="1:35">
      <c r="A662" t="s">
        <v>2080</v>
      </c>
      <c r="B662" s="2">
        <v>45853</v>
      </c>
      <c r="C662" s="2">
        <v>45853</v>
      </c>
      <c r="D662" t="s">
        <v>2081</v>
      </c>
      <c r="E662" t="s">
        <v>67</v>
      </c>
      <c r="F662" t="s">
        <v>51</v>
      </c>
      <c r="G662" t="s">
        <v>52</v>
      </c>
      <c r="H662" t="s">
        <v>243</v>
      </c>
      <c r="I662" t="s">
        <v>244</v>
      </c>
      <c r="J662" t="s">
        <v>88</v>
      </c>
      <c r="K662" t="s">
        <v>185</v>
      </c>
      <c r="L662" t="s">
        <v>2082</v>
      </c>
      <c r="M662" t="s">
        <v>58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46</v>
      </c>
      <c r="U662" t="s">
        <v>47</v>
      </c>
      <c r="V662" t="str">
        <f t="shared" si="99"/>
        <v>Valid</v>
      </c>
      <c r="W662">
        <f t="shared" si="100"/>
        <v>0</v>
      </c>
      <c r="Y662" t="str">
        <f t="shared" si="101"/>
        <v>OK</v>
      </c>
      <c r="Z662" t="str">
        <f t="shared" si="102"/>
        <v>OK</v>
      </c>
      <c r="AA662" t="str">
        <f t="shared" si="103"/>
        <v>OK</v>
      </c>
      <c r="AB662" t="str">
        <f t="shared" si="104"/>
        <v>Valid</v>
      </c>
      <c r="AC662" t="str">
        <f>IF(OR(AB662="Invalid Discount",V662="Invalid Shipping"),
"Invalid",
IF(OR(Y662="Missing Region",
Z662="Missing Ship Mode",
AA662="Missing Discount",
X662="Flagged for Review"),
"Warning",
"Clean"))</f>
        <v>Clean</v>
      </c>
      <c r="AD662">
        <f t="shared" si="105"/>
        <v>0.1</v>
      </c>
      <c r="AE662">
        <f>N662*O662*(1-AD662)</f>
        <v>15994.476000000001</v>
      </c>
      <c r="AF662">
        <f>AE662-R662</f>
        <v>6770.1959999999999</v>
      </c>
      <c r="AG662" s="3">
        <f t="shared" si="106"/>
        <v>0.42328338858991066</v>
      </c>
      <c r="AH662" t="str">
        <f t="shared" si="107"/>
        <v>July</v>
      </c>
      <c r="AI662">
        <f t="shared" si="108"/>
        <v>2025</v>
      </c>
    </row>
    <row r="663" spans="1:35">
      <c r="A663" t="s">
        <v>2083</v>
      </c>
      <c r="B663" s="2">
        <v>45429</v>
      </c>
      <c r="C663" s="2">
        <v>45434</v>
      </c>
      <c r="D663" t="s">
        <v>2084</v>
      </c>
      <c r="E663" t="s">
        <v>146</v>
      </c>
      <c r="F663" t="s">
        <v>38</v>
      </c>
      <c r="G663" t="s">
        <v>68</v>
      </c>
      <c r="H663" t="s">
        <v>98</v>
      </c>
      <c r="I663" t="s">
        <v>99</v>
      </c>
      <c r="J663" t="s">
        <v>88</v>
      </c>
      <c r="K663" t="s">
        <v>289</v>
      </c>
      <c r="L663" t="s">
        <v>2085</v>
      </c>
      <c r="M663" t="s">
        <v>45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46</v>
      </c>
      <c r="U663" t="s">
        <v>47</v>
      </c>
      <c r="V663" t="str">
        <f t="shared" si="99"/>
        <v>Valid</v>
      </c>
      <c r="W663">
        <f t="shared" si="100"/>
        <v>5</v>
      </c>
      <c r="Y663" t="str">
        <f t="shared" si="101"/>
        <v>OK</v>
      </c>
      <c r="Z663" t="str">
        <f t="shared" si="102"/>
        <v>OK</v>
      </c>
      <c r="AA663" t="str">
        <f t="shared" si="103"/>
        <v>OK</v>
      </c>
      <c r="AB663" t="str">
        <f t="shared" si="104"/>
        <v>Valid</v>
      </c>
      <c r="AC663" t="str">
        <f>IF(OR(AB663="Invalid Discount",V663="Invalid Shipping"),
"Invalid",
IF(OR(Y663="Missing Region",
Z663="Missing Ship Mode",
AA663="Missing Discount",
X663="Flagged for Review"),
"Warning",
"Clean"))</f>
        <v>Clean</v>
      </c>
      <c r="AD663">
        <f t="shared" si="105"/>
        <v>0</v>
      </c>
      <c r="AE663">
        <f>N663*O663*(1-AD663)</f>
        <v>1627.5</v>
      </c>
      <c r="AF663">
        <f>AE663-R663</f>
        <v>687.6</v>
      </c>
      <c r="AG663" s="3">
        <f t="shared" si="106"/>
        <v>0.4224884792626728</v>
      </c>
      <c r="AH663" t="str">
        <f t="shared" si="107"/>
        <v>May</v>
      </c>
      <c r="AI663">
        <f t="shared" si="108"/>
        <v>2024</v>
      </c>
    </row>
    <row r="664" spans="1:35">
      <c r="A664" t="s">
        <v>2086</v>
      </c>
      <c r="B664" s="2">
        <v>45305</v>
      </c>
      <c r="C664" s="2">
        <v>45309</v>
      </c>
      <c r="D664" t="s">
        <v>2087</v>
      </c>
      <c r="E664" t="s">
        <v>50</v>
      </c>
      <c r="F664" t="s">
        <v>109</v>
      </c>
      <c r="G664" t="s">
        <v>77</v>
      </c>
      <c r="H664" t="s">
        <v>40</v>
      </c>
      <c r="I664" t="s">
        <v>123</v>
      </c>
      <c r="J664" t="s">
        <v>88</v>
      </c>
      <c r="K664" t="s">
        <v>289</v>
      </c>
      <c r="L664" t="s">
        <v>2088</v>
      </c>
      <c r="M664" t="s">
        <v>58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46</v>
      </c>
      <c r="U664" t="s">
        <v>47</v>
      </c>
      <c r="V664" t="str">
        <f t="shared" si="99"/>
        <v>Valid</v>
      </c>
      <c r="W664">
        <f t="shared" si="100"/>
        <v>4</v>
      </c>
      <c r="Y664" t="str">
        <f t="shared" si="101"/>
        <v>OK</v>
      </c>
      <c r="Z664" t="str">
        <f t="shared" si="102"/>
        <v>OK</v>
      </c>
      <c r="AA664" t="str">
        <f t="shared" si="103"/>
        <v>OK</v>
      </c>
      <c r="AB664" t="str">
        <f t="shared" si="104"/>
        <v>Valid</v>
      </c>
      <c r="AC664" t="str">
        <f>IF(OR(AB664="Invalid Discount",V664="Invalid Shipping"),
"Invalid",
IF(OR(Y664="Missing Region",
Z664="Missing Ship Mode",
AA664="Missing Discount",
X664="Flagged for Review"),
"Warning",
"Clean"))</f>
        <v>Clean</v>
      </c>
      <c r="AD664">
        <f t="shared" si="105"/>
        <v>0.1</v>
      </c>
      <c r="AE664">
        <f>N664*O664*(1-AD664)</f>
        <v>9637.92</v>
      </c>
      <c r="AF664">
        <f>AE664-R664</f>
        <v>2308.63</v>
      </c>
      <c r="AG664" s="3">
        <f t="shared" si="106"/>
        <v>0.2395361239769577</v>
      </c>
      <c r="AH664" t="str">
        <f t="shared" si="107"/>
        <v>January</v>
      </c>
      <c r="AI664">
        <f t="shared" si="108"/>
        <v>2024</v>
      </c>
    </row>
    <row r="665" spans="1:35">
      <c r="A665" t="s">
        <v>2089</v>
      </c>
      <c r="B665" s="2">
        <v>45414</v>
      </c>
      <c r="C665" s="2">
        <v>45420</v>
      </c>
      <c r="D665" t="s">
        <v>2090</v>
      </c>
      <c r="E665" t="s">
        <v>132</v>
      </c>
      <c r="F665" t="s">
        <v>109</v>
      </c>
      <c r="G665" t="s">
        <v>52</v>
      </c>
      <c r="H665" t="s">
        <v>243</v>
      </c>
      <c r="I665" t="s">
        <v>244</v>
      </c>
      <c r="J665" t="s">
        <v>88</v>
      </c>
      <c r="K665" t="s">
        <v>94</v>
      </c>
      <c r="L665" t="s">
        <v>2091</v>
      </c>
      <c r="M665" t="s">
        <v>45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46</v>
      </c>
      <c r="U665" t="s">
        <v>47</v>
      </c>
      <c r="V665" t="str">
        <f t="shared" si="99"/>
        <v>Valid</v>
      </c>
      <c r="W665">
        <f t="shared" si="100"/>
        <v>6</v>
      </c>
      <c r="Y665" t="str">
        <f t="shared" si="101"/>
        <v>OK</v>
      </c>
      <c r="Z665" t="str">
        <f t="shared" si="102"/>
        <v>OK</v>
      </c>
      <c r="AA665" t="str">
        <f t="shared" si="103"/>
        <v>OK</v>
      </c>
      <c r="AB665" t="str">
        <f t="shared" si="104"/>
        <v>Invalid Discount</v>
      </c>
      <c r="AC665" t="str">
        <f>IF(OR(AB665="Invalid Discount",V665="Invalid Shipping"),
"Invalid",
IF(OR(Y665="Missing Region",
Z665="Missing Ship Mode",
AA665="Missing Discount",
X665="Flagged for Review"),
"Warning",
"Clean"))</f>
        <v>Invalid</v>
      </c>
      <c r="AD665">
        <f t="shared" si="105"/>
        <v>-0.24</v>
      </c>
      <c r="AE665">
        <f>N665*O665*(1-AD665)</f>
        <v>7898.8248000000003</v>
      </c>
      <c r="AF665">
        <f>AE665-R665</f>
        <v>4745.8448000000008</v>
      </c>
      <c r="AG665" s="3">
        <f t="shared" si="106"/>
        <v>0.60082922715287979</v>
      </c>
      <c r="AH665" t="str">
        <f t="shared" si="107"/>
        <v>May</v>
      </c>
      <c r="AI665">
        <f t="shared" si="108"/>
        <v>2024</v>
      </c>
    </row>
    <row r="666" spans="1:35">
      <c r="A666" t="s">
        <v>2092</v>
      </c>
      <c r="B666" s="2">
        <v>45633</v>
      </c>
      <c r="C666" s="2">
        <v>45636</v>
      </c>
      <c r="D666" t="s">
        <v>2093</v>
      </c>
      <c r="E666" t="s">
        <v>50</v>
      </c>
      <c r="F666" t="s">
        <v>109</v>
      </c>
      <c r="G666" t="s">
        <v>68</v>
      </c>
      <c r="H666" t="s">
        <v>69</v>
      </c>
      <c r="I666" t="s">
        <v>70</v>
      </c>
      <c r="J666" t="s">
        <v>88</v>
      </c>
      <c r="K666" t="s">
        <v>89</v>
      </c>
      <c r="L666" t="s">
        <v>2094</v>
      </c>
      <c r="M666" t="s">
        <v>73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46</v>
      </c>
      <c r="U666" t="s">
        <v>47</v>
      </c>
      <c r="V666" t="str">
        <f t="shared" si="99"/>
        <v>Valid</v>
      </c>
      <c r="W666">
        <f t="shared" si="100"/>
        <v>3</v>
      </c>
      <c r="Y666" t="str">
        <f t="shared" si="101"/>
        <v>OK</v>
      </c>
      <c r="Z666" t="str">
        <f t="shared" si="102"/>
        <v>OK</v>
      </c>
      <c r="AA666" t="str">
        <f t="shared" si="103"/>
        <v>OK</v>
      </c>
      <c r="AB666" t="str">
        <f t="shared" si="104"/>
        <v>Valid</v>
      </c>
      <c r="AC666" t="str">
        <f>IF(OR(AB666="Invalid Discount",V666="Invalid Shipping"),
"Invalid",
IF(OR(Y666="Missing Region",
Z666="Missing Ship Mode",
AA666="Missing Discount",
X666="Flagged for Review"),
"Warning",
"Clean"))</f>
        <v>Clean</v>
      </c>
      <c r="AD666">
        <f t="shared" si="105"/>
        <v>0.2</v>
      </c>
      <c r="AE666">
        <f>N666*O666*(1-AD666)</f>
        <v>1527.0640000000001</v>
      </c>
      <c r="AF666">
        <f>AE666-R666</f>
        <v>471.17399999999998</v>
      </c>
      <c r="AG666" s="3">
        <f t="shared" si="106"/>
        <v>0.30854895407134209</v>
      </c>
      <c r="AH666" t="str">
        <f t="shared" si="107"/>
        <v>December</v>
      </c>
      <c r="AI666">
        <f t="shared" si="108"/>
        <v>2024</v>
      </c>
    </row>
    <row r="667" spans="1:35">
      <c r="A667" t="s">
        <v>2095</v>
      </c>
      <c r="B667" s="2">
        <v>45670</v>
      </c>
      <c r="C667" s="2">
        <v>45670</v>
      </c>
      <c r="D667" t="s">
        <v>2096</v>
      </c>
      <c r="E667" t="s">
        <v>132</v>
      </c>
      <c r="F667" t="s">
        <v>109</v>
      </c>
      <c r="G667" t="s">
        <v>77</v>
      </c>
      <c r="H667" t="s">
        <v>194</v>
      </c>
      <c r="I667" t="s">
        <v>195</v>
      </c>
      <c r="J667" t="s">
        <v>42</v>
      </c>
      <c r="K667" t="s">
        <v>62</v>
      </c>
      <c r="L667" t="s">
        <v>2097</v>
      </c>
      <c r="M667" t="s">
        <v>73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169</v>
      </c>
      <c r="U667" t="s">
        <v>82</v>
      </c>
      <c r="V667" t="str">
        <f t="shared" si="99"/>
        <v>Valid</v>
      </c>
      <c r="W667">
        <f t="shared" si="100"/>
        <v>0</v>
      </c>
      <c r="Y667" t="str">
        <f t="shared" si="101"/>
        <v>OK</v>
      </c>
      <c r="Z667" t="str">
        <f t="shared" si="102"/>
        <v>OK</v>
      </c>
      <c r="AA667" t="str">
        <f t="shared" si="103"/>
        <v>OK</v>
      </c>
      <c r="AB667" t="str">
        <f t="shared" si="104"/>
        <v>Valid</v>
      </c>
      <c r="AC667" t="str">
        <f>IF(OR(AB667="Invalid Discount",V667="Invalid Shipping"),
"Invalid",
IF(OR(Y667="Missing Region",
Z667="Missing Ship Mode",
AA667="Missing Discount",
X667="Flagged for Review"),
"Warning",
"Clean"))</f>
        <v>Clean</v>
      </c>
      <c r="AD667">
        <f t="shared" si="105"/>
        <v>0.1</v>
      </c>
      <c r="AE667">
        <f>N667*O667*(1-AD667)</f>
        <v>5698.4039999999995</v>
      </c>
      <c r="AF667">
        <f>AE667-R667</f>
        <v>2057.5139999999997</v>
      </c>
      <c r="AG667" s="3">
        <f t="shared" si="106"/>
        <v>0.36106846759197836</v>
      </c>
      <c r="AH667" t="str">
        <f t="shared" si="107"/>
        <v>January</v>
      </c>
      <c r="AI667">
        <f t="shared" si="108"/>
        <v>2025</v>
      </c>
    </row>
    <row r="668" spans="1:35">
      <c r="A668" t="s">
        <v>2098</v>
      </c>
      <c r="B668" s="2">
        <v>45464</v>
      </c>
      <c r="C668" s="2">
        <v>45469</v>
      </c>
      <c r="D668" t="s">
        <v>2099</v>
      </c>
      <c r="E668" t="s">
        <v>155</v>
      </c>
      <c r="F668" t="s">
        <v>51</v>
      </c>
      <c r="G668" t="s">
        <v>39</v>
      </c>
      <c r="H668" t="s">
        <v>136</v>
      </c>
      <c r="I668" t="s">
        <v>137</v>
      </c>
      <c r="J668" t="s">
        <v>88</v>
      </c>
      <c r="K668" t="s">
        <v>94</v>
      </c>
      <c r="L668" t="s">
        <v>2100</v>
      </c>
      <c r="M668" t="s">
        <v>58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46</v>
      </c>
      <c r="U668" t="s">
        <v>47</v>
      </c>
      <c r="V668" t="str">
        <f t="shared" si="99"/>
        <v>Valid</v>
      </c>
      <c r="W668">
        <f t="shared" si="100"/>
        <v>5</v>
      </c>
      <c r="Y668" t="str">
        <f t="shared" si="101"/>
        <v>OK</v>
      </c>
      <c r="Z668" t="str">
        <f t="shared" si="102"/>
        <v>OK</v>
      </c>
      <c r="AA668" t="str">
        <f t="shared" si="103"/>
        <v>OK</v>
      </c>
      <c r="AB668" t="str">
        <f t="shared" si="104"/>
        <v>Valid</v>
      </c>
      <c r="AC668" t="str">
        <f>IF(OR(AB668="Invalid Discount",V668="Invalid Shipping"),
"Invalid",
IF(OR(Y668="Missing Region",
Z668="Missing Ship Mode",
AA668="Missing Discount",
X668="Flagged for Review"),
"Warning",
"Clean"))</f>
        <v>Clean</v>
      </c>
      <c r="AD668">
        <f t="shared" si="105"/>
        <v>0.05</v>
      </c>
      <c r="AE668">
        <f>N668*O668*(1-AD668)</f>
        <v>265.83849999999995</v>
      </c>
      <c r="AF668">
        <f>AE668-R668</f>
        <v>42.348499999999945</v>
      </c>
      <c r="AG668" s="3">
        <f t="shared" si="106"/>
        <v>0.15930160605028976</v>
      </c>
      <c r="AH668" t="str">
        <f t="shared" si="107"/>
        <v>June</v>
      </c>
      <c r="AI668">
        <f t="shared" si="108"/>
        <v>2024</v>
      </c>
    </row>
    <row r="669" spans="1:35">
      <c r="A669" t="s">
        <v>2101</v>
      </c>
      <c r="B669" s="2">
        <v>45797</v>
      </c>
      <c r="C669" s="2">
        <v>45804</v>
      </c>
      <c r="D669" t="s">
        <v>2102</v>
      </c>
      <c r="E669" t="s">
        <v>176</v>
      </c>
      <c r="F669" t="s">
        <v>51</v>
      </c>
      <c r="G669" t="s">
        <v>52</v>
      </c>
      <c r="H669" t="s">
        <v>159</v>
      </c>
      <c r="I669" t="s">
        <v>160</v>
      </c>
      <c r="J669" t="s">
        <v>88</v>
      </c>
      <c r="K669" t="s">
        <v>289</v>
      </c>
      <c r="L669" t="s">
        <v>2103</v>
      </c>
      <c r="M669" t="s">
        <v>73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125</v>
      </c>
      <c r="U669" t="s">
        <v>117</v>
      </c>
      <c r="V669" t="str">
        <f t="shared" si="99"/>
        <v>Valid</v>
      </c>
      <c r="W669">
        <f t="shared" si="100"/>
        <v>7</v>
      </c>
      <c r="Y669" t="str">
        <f t="shared" si="101"/>
        <v>OK</v>
      </c>
      <c r="Z669" t="str">
        <f t="shared" si="102"/>
        <v>OK</v>
      </c>
      <c r="AA669" t="str">
        <f t="shared" si="103"/>
        <v>OK</v>
      </c>
      <c r="AB669" t="str">
        <f t="shared" si="104"/>
        <v>Valid</v>
      </c>
      <c r="AC669" t="str">
        <f>IF(OR(AB669="Invalid Discount",V669="Invalid Shipping"),
"Invalid",
IF(OR(Y669="Missing Region",
Z669="Missing Ship Mode",
AA669="Missing Discount",
X669="Flagged for Review"),
"Warning",
"Clean"))</f>
        <v>Clean</v>
      </c>
      <c r="AD669">
        <f t="shared" si="105"/>
        <v>0</v>
      </c>
      <c r="AE669">
        <f>N669*O669*(1-AD669)</f>
        <v>3959.14</v>
      </c>
      <c r="AF669">
        <f>AE669-R669</f>
        <v>719.60999999999967</v>
      </c>
      <c r="AG669" s="3">
        <f t="shared" si="106"/>
        <v>0.18175916992074029</v>
      </c>
      <c r="AH669" t="str">
        <f t="shared" si="107"/>
        <v>May</v>
      </c>
      <c r="AI669">
        <f t="shared" si="108"/>
        <v>2025</v>
      </c>
    </row>
    <row r="670" spans="1:35">
      <c r="A670" t="s">
        <v>2104</v>
      </c>
      <c r="B670" s="2">
        <v>45617</v>
      </c>
      <c r="C670" s="2">
        <v>45619</v>
      </c>
      <c r="D670" t="s">
        <v>2105</v>
      </c>
      <c r="E670" t="s">
        <v>50</v>
      </c>
      <c r="F670" t="s">
        <v>104</v>
      </c>
      <c r="G670" t="s">
        <v>77</v>
      </c>
      <c r="H670" t="s">
        <v>194</v>
      </c>
      <c r="I670" t="s">
        <v>195</v>
      </c>
      <c r="J670" t="s">
        <v>42</v>
      </c>
      <c r="K670" t="s">
        <v>43</v>
      </c>
      <c r="L670" t="s">
        <v>2106</v>
      </c>
      <c r="M670" t="s">
        <v>45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46</v>
      </c>
      <c r="U670" t="s">
        <v>47</v>
      </c>
      <c r="V670" t="str">
        <f t="shared" si="99"/>
        <v>Valid</v>
      </c>
      <c r="W670">
        <f t="shared" si="100"/>
        <v>2</v>
      </c>
      <c r="Y670" t="str">
        <f t="shared" si="101"/>
        <v>OK</v>
      </c>
      <c r="Z670" t="str">
        <f t="shared" si="102"/>
        <v>OK</v>
      </c>
      <c r="AA670" t="str">
        <f t="shared" si="103"/>
        <v>OK</v>
      </c>
      <c r="AB670" t="str">
        <f t="shared" si="104"/>
        <v>Valid</v>
      </c>
      <c r="AC670" t="str">
        <f>IF(OR(AB670="Invalid Discount",V670="Invalid Shipping"),
"Invalid",
IF(OR(Y670="Missing Region",
Z670="Missing Ship Mode",
AA670="Missing Discount",
X670="Flagged for Review"),
"Warning",
"Clean"))</f>
        <v>Clean</v>
      </c>
      <c r="AD670">
        <f t="shared" si="105"/>
        <v>0.2</v>
      </c>
      <c r="AE670">
        <f>N670*O670*(1-AD670)</f>
        <v>2401.84</v>
      </c>
      <c r="AF670">
        <f>AE670-R670</f>
        <v>528.73000000000025</v>
      </c>
      <c r="AG670" s="3">
        <f t="shared" si="106"/>
        <v>0.22013539619624964</v>
      </c>
      <c r="AH670" t="str">
        <f t="shared" si="107"/>
        <v>November</v>
      </c>
      <c r="AI670">
        <f t="shared" si="108"/>
        <v>2024</v>
      </c>
    </row>
    <row r="671" spans="1:35">
      <c r="A671" t="s">
        <v>2107</v>
      </c>
      <c r="B671" s="2">
        <v>45375</v>
      </c>
      <c r="C671" s="2">
        <v>45383</v>
      </c>
      <c r="D671" t="s">
        <v>2108</v>
      </c>
      <c r="E671" t="s">
        <v>76</v>
      </c>
      <c r="F671" t="s">
        <v>109</v>
      </c>
      <c r="G671" t="s">
        <v>77</v>
      </c>
      <c r="H671" t="s">
        <v>78</v>
      </c>
      <c r="I671" t="s">
        <v>79</v>
      </c>
      <c r="J671" t="s">
        <v>55</v>
      </c>
      <c r="K671" t="s">
        <v>56</v>
      </c>
      <c r="L671" t="s">
        <v>2109</v>
      </c>
      <c r="M671" t="s">
        <v>45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46</v>
      </c>
      <c r="U671" t="s">
        <v>47</v>
      </c>
      <c r="V671" t="str">
        <f t="shared" si="99"/>
        <v>Valid</v>
      </c>
      <c r="W671">
        <f t="shared" si="100"/>
        <v>8</v>
      </c>
      <c r="Y671" t="str">
        <f t="shared" si="101"/>
        <v>OK</v>
      </c>
      <c r="Z671" t="str">
        <f t="shared" si="102"/>
        <v>OK</v>
      </c>
      <c r="AA671" t="str">
        <f t="shared" si="103"/>
        <v>OK</v>
      </c>
      <c r="AB671" t="str">
        <f t="shared" si="104"/>
        <v>Valid</v>
      </c>
      <c r="AC671" t="str">
        <f>IF(OR(AB671="Invalid Discount",V671="Invalid Shipping"),
"Invalid",
IF(OR(Y671="Missing Region",
Z671="Missing Ship Mode",
AA671="Missing Discount",
X671="Flagged for Review"),
"Warning",
"Clean"))</f>
        <v>Clean</v>
      </c>
      <c r="AD671">
        <f t="shared" si="105"/>
        <v>0.25</v>
      </c>
      <c r="AE671">
        <f>N671*O671*(1-AD671)</f>
        <v>5102.16</v>
      </c>
      <c r="AF671">
        <f>AE671-R671</f>
        <v>1875.71</v>
      </c>
      <c r="AG671" s="3">
        <f t="shared" si="106"/>
        <v>0.36763057214983458</v>
      </c>
      <c r="AH671" t="str">
        <f t="shared" si="107"/>
        <v>March</v>
      </c>
      <c r="AI671">
        <f t="shared" si="108"/>
        <v>2024</v>
      </c>
    </row>
    <row r="672" spans="1:35">
      <c r="A672" t="s">
        <v>2110</v>
      </c>
      <c r="B672" s="2">
        <v>45690</v>
      </c>
      <c r="C672" s="2">
        <v>45694</v>
      </c>
      <c r="D672" t="s">
        <v>1612</v>
      </c>
      <c r="E672" t="s">
        <v>146</v>
      </c>
      <c r="F672" t="s">
        <v>104</v>
      </c>
      <c r="G672" t="s">
        <v>39</v>
      </c>
      <c r="H672" t="s">
        <v>150</v>
      </c>
      <c r="I672" t="s">
        <v>151</v>
      </c>
      <c r="J672" t="s">
        <v>55</v>
      </c>
      <c r="K672" t="s">
        <v>56</v>
      </c>
      <c r="L672" t="s">
        <v>2111</v>
      </c>
      <c r="M672" t="s">
        <v>73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46</v>
      </c>
      <c r="U672" t="s">
        <v>47</v>
      </c>
      <c r="V672" t="str">
        <f t="shared" si="99"/>
        <v>Valid</v>
      </c>
      <c r="W672">
        <f t="shared" si="100"/>
        <v>4</v>
      </c>
      <c r="Y672" t="str">
        <f t="shared" si="101"/>
        <v>OK</v>
      </c>
      <c r="Z672" t="str">
        <f t="shared" si="102"/>
        <v>OK</v>
      </c>
      <c r="AA672" t="str">
        <f t="shared" si="103"/>
        <v>OK</v>
      </c>
      <c r="AB672" t="str">
        <f t="shared" si="104"/>
        <v>Valid</v>
      </c>
      <c r="AC672" t="str">
        <f>IF(OR(AB672="Invalid Discount",V672="Invalid Shipping"),
"Invalid",
IF(OR(Y672="Missing Region",
Z672="Missing Ship Mode",
AA672="Missing Discount",
X672="Flagged for Review"),
"Warning",
"Clean"))</f>
        <v>Clean</v>
      </c>
      <c r="AD672">
        <f t="shared" si="105"/>
        <v>0.1</v>
      </c>
      <c r="AE672">
        <f>N672*O672*(1-AD672)</f>
        <v>6176.5920000000006</v>
      </c>
      <c r="AF672">
        <f>AE672-R672</f>
        <v>2615.6320000000005</v>
      </c>
      <c r="AG672" s="3">
        <f t="shared" si="106"/>
        <v>0.42347495188285067</v>
      </c>
      <c r="AH672" t="str">
        <f t="shared" si="107"/>
        <v>February</v>
      </c>
      <c r="AI672">
        <f t="shared" si="108"/>
        <v>2025</v>
      </c>
    </row>
    <row r="673" spans="1:35">
      <c r="A673" t="s">
        <v>2112</v>
      </c>
      <c r="B673" s="2">
        <v>45373</v>
      </c>
      <c r="C673" s="2">
        <v>45378</v>
      </c>
      <c r="D673" t="s">
        <v>2113</v>
      </c>
      <c r="E673" t="s">
        <v>103</v>
      </c>
      <c r="F673" t="s">
        <v>109</v>
      </c>
      <c r="G673" t="s">
        <v>77</v>
      </c>
      <c r="H673" t="s">
        <v>204</v>
      </c>
      <c r="I673" t="s">
        <v>205</v>
      </c>
      <c r="J673" t="s">
        <v>88</v>
      </c>
      <c r="K673" t="s">
        <v>94</v>
      </c>
      <c r="L673" t="s">
        <v>2114</v>
      </c>
      <c r="M673" t="s">
        <v>45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46</v>
      </c>
      <c r="U673" t="s">
        <v>47</v>
      </c>
      <c r="V673" t="str">
        <f t="shared" si="99"/>
        <v>Valid</v>
      </c>
      <c r="W673">
        <f t="shared" si="100"/>
        <v>5</v>
      </c>
      <c r="Y673" t="str">
        <f t="shared" si="101"/>
        <v>OK</v>
      </c>
      <c r="Z673" t="str">
        <f t="shared" si="102"/>
        <v>OK</v>
      </c>
      <c r="AA673" t="str">
        <f t="shared" si="103"/>
        <v>OK</v>
      </c>
      <c r="AB673" t="str">
        <f t="shared" si="104"/>
        <v>Valid</v>
      </c>
      <c r="AC673" t="str">
        <f>IF(OR(AB673="Invalid Discount",V673="Invalid Shipping"),
"Invalid",
IF(OR(Y673="Missing Region",
Z673="Missing Ship Mode",
AA673="Missing Discount",
X673="Flagged for Review"),
"Warning",
"Clean"))</f>
        <v>Clean</v>
      </c>
      <c r="AD673">
        <f t="shared" si="105"/>
        <v>0.05</v>
      </c>
      <c r="AE673">
        <f>N673*O673*(1-AD673)</f>
        <v>31203.310500000003</v>
      </c>
      <c r="AF673">
        <f>AE673-R673</f>
        <v>13465.180500000002</v>
      </c>
      <c r="AG673" s="3">
        <f t="shared" si="106"/>
        <v>0.43153051020019179</v>
      </c>
      <c r="AH673" t="str">
        <f t="shared" si="107"/>
        <v>March</v>
      </c>
      <c r="AI673">
        <f t="shared" si="108"/>
        <v>2024</v>
      </c>
    </row>
    <row r="674" spans="1:35">
      <c r="A674" t="s">
        <v>2115</v>
      </c>
      <c r="B674" s="2">
        <v>45539</v>
      </c>
      <c r="C674" s="2">
        <v>45540</v>
      </c>
      <c r="D674" t="s">
        <v>2116</v>
      </c>
      <c r="E674" t="s">
        <v>103</v>
      </c>
      <c r="F674" t="s">
        <v>104</v>
      </c>
      <c r="G674" t="s">
        <v>77</v>
      </c>
      <c r="H674" t="s">
        <v>86</v>
      </c>
      <c r="I674" t="s">
        <v>87</v>
      </c>
      <c r="J674" t="s">
        <v>55</v>
      </c>
      <c r="K674" t="s">
        <v>80</v>
      </c>
      <c r="L674" t="s">
        <v>2117</v>
      </c>
      <c r="M674" t="s">
        <v>73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46</v>
      </c>
      <c r="U674" t="s">
        <v>117</v>
      </c>
      <c r="V674" t="str">
        <f t="shared" si="99"/>
        <v>Valid</v>
      </c>
      <c r="W674">
        <f t="shared" si="100"/>
        <v>1</v>
      </c>
      <c r="Y674" t="str">
        <f t="shared" si="101"/>
        <v>OK</v>
      </c>
      <c r="Z674" t="str">
        <f t="shared" si="102"/>
        <v>OK</v>
      </c>
      <c r="AA674" t="str">
        <f t="shared" si="103"/>
        <v>OK</v>
      </c>
      <c r="AB674" t="str">
        <f t="shared" si="104"/>
        <v>Valid</v>
      </c>
      <c r="AC674" t="str">
        <f>IF(OR(AB674="Invalid Discount",V674="Invalid Shipping"),
"Invalid",
IF(OR(Y674="Missing Region",
Z674="Missing Ship Mode",
AA674="Missing Discount",
X674="Flagged for Review"),
"Warning",
"Clean"))</f>
        <v>Clean</v>
      </c>
      <c r="AD674">
        <f t="shared" si="105"/>
        <v>0.05</v>
      </c>
      <c r="AE674">
        <f>N674*O674*(1-AD674)</f>
        <v>12010.5175</v>
      </c>
      <c r="AF674">
        <f>AE674-R674</f>
        <v>4145.9075000000003</v>
      </c>
      <c r="AG674" s="3">
        <f t="shared" si="106"/>
        <v>0.34518974723612039</v>
      </c>
      <c r="AH674" t="str">
        <f t="shared" si="107"/>
        <v>September</v>
      </c>
      <c r="AI674">
        <f t="shared" si="108"/>
        <v>2024</v>
      </c>
    </row>
    <row r="675" spans="1:35">
      <c r="A675" t="s">
        <v>2118</v>
      </c>
      <c r="B675" s="2">
        <v>45701</v>
      </c>
      <c r="C675" s="2">
        <v>45704</v>
      </c>
      <c r="D675" t="s">
        <v>2119</v>
      </c>
      <c r="E675" t="s">
        <v>67</v>
      </c>
      <c r="F675" t="s">
        <v>51</v>
      </c>
      <c r="G675" t="s">
        <v>77</v>
      </c>
      <c r="H675" t="s">
        <v>40</v>
      </c>
      <c r="I675" t="s">
        <v>123</v>
      </c>
      <c r="J675" t="s">
        <v>55</v>
      </c>
      <c r="K675" t="s">
        <v>172</v>
      </c>
      <c r="L675" t="s">
        <v>2120</v>
      </c>
      <c r="M675" t="s">
        <v>45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46</v>
      </c>
      <c r="U675" t="s">
        <v>47</v>
      </c>
      <c r="V675" t="str">
        <f t="shared" si="99"/>
        <v>Valid</v>
      </c>
      <c r="W675">
        <f t="shared" si="100"/>
        <v>3</v>
      </c>
      <c r="Y675" t="str">
        <f t="shared" si="101"/>
        <v>OK</v>
      </c>
      <c r="Z675" t="str">
        <f t="shared" si="102"/>
        <v>OK</v>
      </c>
      <c r="AA675" t="str">
        <f t="shared" si="103"/>
        <v>OK</v>
      </c>
      <c r="AB675" t="str">
        <f t="shared" si="104"/>
        <v>Valid</v>
      </c>
      <c r="AC675" t="str">
        <f>IF(OR(AB675="Invalid Discount",V675="Invalid Shipping"),
"Invalid",
IF(OR(Y675="Missing Region",
Z675="Missing Ship Mode",
AA675="Missing Discount",
X675="Flagged for Review"),
"Warning",
"Clean"))</f>
        <v>Clean</v>
      </c>
      <c r="AD675">
        <f t="shared" si="105"/>
        <v>0.15</v>
      </c>
      <c r="AE675">
        <f>N675*O675*(1-AD675)</f>
        <v>13847.86</v>
      </c>
      <c r="AF675">
        <f>AE675-R675</f>
        <v>5376.08</v>
      </c>
      <c r="AG675" s="3">
        <f t="shared" si="106"/>
        <v>0.38822460654570451</v>
      </c>
      <c r="AH675" t="str">
        <f t="shared" si="107"/>
        <v>February</v>
      </c>
      <c r="AI675">
        <f t="shared" si="108"/>
        <v>2025</v>
      </c>
    </row>
    <row r="676" spans="1:35">
      <c r="A676" t="s">
        <v>2121</v>
      </c>
      <c r="B676" s="2">
        <v>45430</v>
      </c>
      <c r="C676" s="2">
        <v>45433</v>
      </c>
      <c r="D676" t="s">
        <v>2122</v>
      </c>
      <c r="E676" t="s">
        <v>85</v>
      </c>
      <c r="F676" t="s">
        <v>104</v>
      </c>
      <c r="G676" t="s">
        <v>52</v>
      </c>
      <c r="H676" t="s">
        <v>243</v>
      </c>
      <c r="I676" t="s">
        <v>244</v>
      </c>
      <c r="J676" t="s">
        <v>88</v>
      </c>
      <c r="K676" t="s">
        <v>89</v>
      </c>
      <c r="L676" t="s">
        <v>2123</v>
      </c>
      <c r="M676" t="s">
        <v>45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125</v>
      </c>
      <c r="U676" t="s">
        <v>117</v>
      </c>
      <c r="V676" t="str">
        <f t="shared" si="99"/>
        <v>Valid</v>
      </c>
      <c r="W676">
        <f t="shared" si="100"/>
        <v>3</v>
      </c>
      <c r="Y676" t="str">
        <f t="shared" si="101"/>
        <v>OK</v>
      </c>
      <c r="Z676" t="str">
        <f t="shared" si="102"/>
        <v>OK</v>
      </c>
      <c r="AA676" t="str">
        <f t="shared" si="103"/>
        <v>OK</v>
      </c>
      <c r="AB676" t="str">
        <f t="shared" si="104"/>
        <v>Valid</v>
      </c>
      <c r="AC676" t="str">
        <f>IF(OR(AB676="Invalid Discount",V676="Invalid Shipping"),
"Invalid",
IF(OR(Y676="Missing Region",
Z676="Missing Ship Mode",
AA676="Missing Discount",
X676="Flagged for Review"),
"Warning",
"Clean"))</f>
        <v>Clean</v>
      </c>
      <c r="AD676">
        <f t="shared" si="105"/>
        <v>0</v>
      </c>
      <c r="AE676">
        <f>N676*O676*(1-AD676)</f>
        <v>1033.71</v>
      </c>
      <c r="AF676">
        <f>AE676-R676</f>
        <v>402.89</v>
      </c>
      <c r="AG676" s="3">
        <f t="shared" si="106"/>
        <v>0.38975147768716562</v>
      </c>
      <c r="AH676" t="str">
        <f t="shared" si="107"/>
        <v>May</v>
      </c>
      <c r="AI676">
        <f t="shared" si="108"/>
        <v>2024</v>
      </c>
    </row>
    <row r="677" spans="1:35">
      <c r="A677" t="s">
        <v>2124</v>
      </c>
      <c r="B677" s="2">
        <v>45815</v>
      </c>
      <c r="C677" s="2">
        <v>45818</v>
      </c>
      <c r="D677" t="s">
        <v>2025</v>
      </c>
      <c r="E677" t="s">
        <v>142</v>
      </c>
      <c r="F677" t="s">
        <v>38</v>
      </c>
      <c r="G677" t="s">
        <v>39</v>
      </c>
      <c r="H677" t="s">
        <v>40</v>
      </c>
      <c r="I677" t="s">
        <v>41</v>
      </c>
      <c r="J677" t="s">
        <v>55</v>
      </c>
      <c r="K677" t="s">
        <v>71</v>
      </c>
      <c r="L677" t="s">
        <v>2125</v>
      </c>
      <c r="M677" t="s">
        <v>58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46</v>
      </c>
      <c r="U677" t="s">
        <v>47</v>
      </c>
      <c r="V677" t="str">
        <f t="shared" si="99"/>
        <v>Valid</v>
      </c>
      <c r="W677">
        <f t="shared" si="100"/>
        <v>3</v>
      </c>
      <c r="Y677" t="str">
        <f t="shared" si="101"/>
        <v>OK</v>
      </c>
      <c r="Z677" t="str">
        <f t="shared" si="102"/>
        <v>OK</v>
      </c>
      <c r="AA677" t="str">
        <f t="shared" si="103"/>
        <v>OK</v>
      </c>
      <c r="AB677" t="str">
        <f t="shared" si="104"/>
        <v>Valid</v>
      </c>
      <c r="AC677" t="str">
        <f>IF(OR(AB677="Invalid Discount",V677="Invalid Shipping"),
"Invalid",
IF(OR(Y677="Missing Region",
Z677="Missing Ship Mode",
AA677="Missing Discount",
X677="Flagged for Review"),
"Warning",
"Clean"))</f>
        <v>Clean</v>
      </c>
      <c r="AD677">
        <f t="shared" si="105"/>
        <v>0</v>
      </c>
      <c r="AE677">
        <f>N677*O677*(1-AD677)</f>
        <v>2889.7799999999997</v>
      </c>
      <c r="AF677">
        <f>AE677-R677</f>
        <v>1078.5499999999997</v>
      </c>
      <c r="AG677" s="3">
        <f t="shared" si="106"/>
        <v>0.37322910394562903</v>
      </c>
      <c r="AH677" t="str">
        <f t="shared" si="107"/>
        <v>June</v>
      </c>
      <c r="AI677">
        <f t="shared" si="108"/>
        <v>2025</v>
      </c>
    </row>
    <row r="678" spans="1:35">
      <c r="A678" t="s">
        <v>2126</v>
      </c>
      <c r="B678" s="2">
        <v>45911</v>
      </c>
      <c r="C678" s="2">
        <v>45918</v>
      </c>
      <c r="D678" t="s">
        <v>2127</v>
      </c>
      <c r="E678" t="s">
        <v>132</v>
      </c>
      <c r="F678" t="s">
        <v>51</v>
      </c>
      <c r="G678" t="s">
        <v>39</v>
      </c>
      <c r="H678" t="s">
        <v>365</v>
      </c>
      <c r="I678" t="s">
        <v>366</v>
      </c>
      <c r="J678" t="s">
        <v>88</v>
      </c>
      <c r="K678" t="s">
        <v>185</v>
      </c>
      <c r="L678" t="s">
        <v>2128</v>
      </c>
      <c r="M678" t="s">
        <v>58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46</v>
      </c>
      <c r="U678" t="s">
        <v>47</v>
      </c>
      <c r="V678" t="str">
        <f t="shared" si="99"/>
        <v>Valid</v>
      </c>
      <c r="W678">
        <f t="shared" si="100"/>
        <v>7</v>
      </c>
      <c r="Y678" t="str">
        <f t="shared" si="101"/>
        <v>OK</v>
      </c>
      <c r="Z678" t="str">
        <f t="shared" si="102"/>
        <v>OK</v>
      </c>
      <c r="AA678" t="str">
        <f t="shared" si="103"/>
        <v>OK</v>
      </c>
      <c r="AB678" t="str">
        <f t="shared" si="104"/>
        <v>Valid</v>
      </c>
      <c r="AC678" t="str">
        <f>IF(OR(AB678="Invalid Discount",V678="Invalid Shipping"),
"Invalid",
IF(OR(Y678="Missing Region",
Z678="Missing Ship Mode",
AA678="Missing Discount",
X678="Flagged for Review"),
"Warning",
"Clean"))</f>
        <v>Clean</v>
      </c>
      <c r="AD678">
        <f t="shared" si="105"/>
        <v>0.15</v>
      </c>
      <c r="AE678">
        <f>N678*O678*(1-AD678)</f>
        <v>20296.699499999999</v>
      </c>
      <c r="AF678">
        <f>AE678-R678</f>
        <v>5375.829499999998</v>
      </c>
      <c r="AG678" s="3">
        <f t="shared" si="106"/>
        <v>0.26486225014071862</v>
      </c>
      <c r="AH678" t="str">
        <f t="shared" si="107"/>
        <v>September</v>
      </c>
      <c r="AI678">
        <f t="shared" si="108"/>
        <v>2025</v>
      </c>
    </row>
    <row r="679" spans="1:35">
      <c r="A679" t="s">
        <v>2129</v>
      </c>
      <c r="B679" s="2">
        <v>45465</v>
      </c>
      <c r="C679" s="2">
        <v>45470</v>
      </c>
      <c r="D679" t="s">
        <v>36</v>
      </c>
      <c r="E679" t="s">
        <v>61</v>
      </c>
      <c r="F679" t="s">
        <v>109</v>
      </c>
      <c r="G679" t="s">
        <v>68</v>
      </c>
      <c r="H679" t="s">
        <v>189</v>
      </c>
      <c r="I679" t="s">
        <v>190</v>
      </c>
      <c r="J679" t="s">
        <v>55</v>
      </c>
      <c r="K679" t="s">
        <v>80</v>
      </c>
      <c r="L679" t="s">
        <v>2130</v>
      </c>
      <c r="M679" t="s">
        <v>58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46</v>
      </c>
      <c r="U679" t="s">
        <v>47</v>
      </c>
      <c r="V679" t="str">
        <f t="shared" si="99"/>
        <v>Valid</v>
      </c>
      <c r="W679">
        <f t="shared" si="100"/>
        <v>5</v>
      </c>
      <c r="Y679" t="str">
        <f t="shared" si="101"/>
        <v>OK</v>
      </c>
      <c r="Z679" t="str">
        <f t="shared" si="102"/>
        <v>OK</v>
      </c>
      <c r="AA679" t="str">
        <f t="shared" si="103"/>
        <v>OK</v>
      </c>
      <c r="AB679" t="str">
        <f t="shared" si="104"/>
        <v>Valid</v>
      </c>
      <c r="AC679" t="str">
        <f>IF(OR(AB679="Invalid Discount",V679="Invalid Shipping"),
"Invalid",
IF(OR(Y679="Missing Region",
Z679="Missing Ship Mode",
AA679="Missing Discount",
X679="Flagged for Review"),
"Warning",
"Clean"))</f>
        <v>Clean</v>
      </c>
      <c r="AD679">
        <f t="shared" si="105"/>
        <v>0</v>
      </c>
      <c r="AE679">
        <f>N679*O679*(1-AD679)</f>
        <v>18364.36</v>
      </c>
      <c r="AF679">
        <f>AE679-R679</f>
        <v>2918.5500000000011</v>
      </c>
      <c r="AG679" s="3">
        <f t="shared" si="106"/>
        <v>0.15892467801763857</v>
      </c>
      <c r="AH679" t="str">
        <f t="shared" si="107"/>
        <v>June</v>
      </c>
      <c r="AI679">
        <f t="shared" si="108"/>
        <v>2024</v>
      </c>
    </row>
    <row r="680" spans="1:35">
      <c r="A680" t="s">
        <v>2131</v>
      </c>
      <c r="B680" s="2">
        <v>45620</v>
      </c>
      <c r="C680" s="2">
        <v>45627</v>
      </c>
      <c r="D680" t="s">
        <v>2132</v>
      </c>
      <c r="E680" t="s">
        <v>279</v>
      </c>
      <c r="F680" t="s">
        <v>104</v>
      </c>
      <c r="G680" t="s">
        <v>68</v>
      </c>
      <c r="H680" t="s">
        <v>189</v>
      </c>
      <c r="I680" t="s">
        <v>190</v>
      </c>
      <c r="J680" t="s">
        <v>55</v>
      </c>
      <c r="K680" t="s">
        <v>56</v>
      </c>
      <c r="L680" t="s">
        <v>2133</v>
      </c>
      <c r="M680" t="s">
        <v>45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46</v>
      </c>
      <c r="U680" t="s">
        <v>47</v>
      </c>
      <c r="V680" t="str">
        <f t="shared" si="99"/>
        <v>Valid</v>
      </c>
      <c r="W680">
        <f t="shared" si="100"/>
        <v>7</v>
      </c>
      <c r="Y680" t="str">
        <f t="shared" si="101"/>
        <v>OK</v>
      </c>
      <c r="Z680" t="str">
        <f t="shared" si="102"/>
        <v>OK</v>
      </c>
      <c r="AA680" t="str">
        <f t="shared" si="103"/>
        <v>OK</v>
      </c>
      <c r="AB680" t="str">
        <f t="shared" si="104"/>
        <v>Valid</v>
      </c>
      <c r="AC680" t="str">
        <f>IF(OR(AB680="Invalid Discount",V680="Invalid Shipping"),
"Invalid",
IF(OR(Y680="Missing Region",
Z680="Missing Ship Mode",
AA680="Missing Discount",
X680="Flagged for Review"),
"Warning",
"Clean"))</f>
        <v>Clean</v>
      </c>
      <c r="AD680">
        <f t="shared" si="105"/>
        <v>0.15</v>
      </c>
      <c r="AE680">
        <f>N680*O680*(1-AD680)</f>
        <v>21141.6165</v>
      </c>
      <c r="AF680">
        <f>AE680-R680</f>
        <v>9465.2865000000002</v>
      </c>
      <c r="AG680" s="3">
        <f t="shared" si="106"/>
        <v>0.44770874071999178</v>
      </c>
      <c r="AH680" t="str">
        <f t="shared" si="107"/>
        <v>November</v>
      </c>
      <c r="AI680">
        <f t="shared" si="108"/>
        <v>2024</v>
      </c>
    </row>
    <row r="681" spans="1:35">
      <c r="A681" t="s">
        <v>2134</v>
      </c>
      <c r="B681" s="2">
        <v>45885</v>
      </c>
      <c r="C681" s="2">
        <v>45892</v>
      </c>
      <c r="D681" t="s">
        <v>2135</v>
      </c>
      <c r="E681" t="s">
        <v>155</v>
      </c>
      <c r="F681" t="s">
        <v>104</v>
      </c>
      <c r="G681" t="s">
        <v>39</v>
      </c>
      <c r="H681" t="s">
        <v>136</v>
      </c>
      <c r="I681" t="s">
        <v>137</v>
      </c>
      <c r="J681" t="s">
        <v>88</v>
      </c>
      <c r="K681" t="s">
        <v>94</v>
      </c>
      <c r="L681" t="s">
        <v>2136</v>
      </c>
      <c r="M681" t="s">
        <v>58</v>
      </c>
      <c r="N681">
        <v>4</v>
      </c>
      <c r="O681">
        <v>1410.57</v>
      </c>
      <c r="P681">
        <v>0.7</v>
      </c>
      <c r="Q681">
        <v>5360.17</v>
      </c>
      <c r="R681">
        <v>3881.51</v>
      </c>
      <c r="S681">
        <v>1478.66</v>
      </c>
      <c r="T681" t="s">
        <v>116</v>
      </c>
      <c r="U681" t="s">
        <v>82</v>
      </c>
      <c r="V681" t="str">
        <f t="shared" si="99"/>
        <v>Valid</v>
      </c>
      <c r="W681">
        <f t="shared" si="100"/>
        <v>7</v>
      </c>
      <c r="Y681" t="str">
        <f t="shared" si="101"/>
        <v>OK</v>
      </c>
      <c r="Z681" t="str">
        <f t="shared" si="102"/>
        <v>OK</v>
      </c>
      <c r="AA681" t="str">
        <f t="shared" si="103"/>
        <v>OK</v>
      </c>
      <c r="AB681" t="str">
        <f>IF(OR(P681&lt;0,P681&gt;1),"Invalid Discount","Valid")</f>
        <v>Valid</v>
      </c>
      <c r="AC681" t="str">
        <f>IF(OR(AB681="Invalid Discount",V681="Invalid Shipping"),
"Invalid",
IF(OR(Y681="Missing Region",
Z681="Missing Ship Mode",
AA681="Missing Discount",
X681="Flagged for Review"),
"Warning",
"Clean"))</f>
        <v>Clean</v>
      </c>
      <c r="AD681">
        <v>0.7</v>
      </c>
      <c r="AE681">
        <f>N681*O681*(1-AD681)</f>
        <v>1692.6840000000002</v>
      </c>
      <c r="AF681">
        <f>AE681-R681</f>
        <v>-2188.826</v>
      </c>
      <c r="AG681" s="3">
        <f t="shared" si="106"/>
        <v>-1.2931096412561351</v>
      </c>
      <c r="AH681" t="str">
        <f t="shared" si="107"/>
        <v>August</v>
      </c>
      <c r="AI681">
        <f t="shared" si="108"/>
        <v>2025</v>
      </c>
    </row>
    <row r="682" spans="1:35">
      <c r="A682" t="s">
        <v>2137</v>
      </c>
      <c r="B682" s="2">
        <v>45441</v>
      </c>
      <c r="C682" s="2">
        <v>45448</v>
      </c>
      <c r="D682" t="s">
        <v>2138</v>
      </c>
      <c r="E682" t="s">
        <v>279</v>
      </c>
      <c r="F682" t="s">
        <v>104</v>
      </c>
      <c r="G682" t="s">
        <v>68</v>
      </c>
      <c r="H682" t="s">
        <v>262</v>
      </c>
      <c r="I682" t="s">
        <v>263</v>
      </c>
      <c r="J682" t="s">
        <v>88</v>
      </c>
      <c r="K682" t="s">
        <v>89</v>
      </c>
      <c r="L682" t="s">
        <v>2139</v>
      </c>
      <c r="M682" t="s">
        <v>64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46</v>
      </c>
      <c r="U682" t="s">
        <v>47</v>
      </c>
      <c r="V682" t="str">
        <f t="shared" si="99"/>
        <v>Valid</v>
      </c>
      <c r="W682">
        <f t="shared" si="100"/>
        <v>7</v>
      </c>
      <c r="Y682" t="str">
        <f t="shared" si="101"/>
        <v>OK</v>
      </c>
      <c r="Z682" t="str">
        <f t="shared" si="102"/>
        <v>OK</v>
      </c>
      <c r="AA682" t="str">
        <f t="shared" si="103"/>
        <v>OK</v>
      </c>
      <c r="AB682" t="str">
        <f t="shared" si="104"/>
        <v>Valid</v>
      </c>
      <c r="AC682" t="str">
        <f>IF(OR(AB682="Invalid Discount",V682="Invalid Shipping"),
"Invalid",
IF(OR(Y682="Missing Region",
Z682="Missing Ship Mode",
AA682="Missing Discount",
X682="Flagged for Review"),
"Warning",
"Clean"))</f>
        <v>Clean</v>
      </c>
      <c r="AD682">
        <f t="shared" si="105"/>
        <v>0</v>
      </c>
      <c r="AE682">
        <f>N682*O682*(1-AD682)</f>
        <v>14800.96</v>
      </c>
      <c r="AF682">
        <f>AE682-R682</f>
        <v>2752.5699999999997</v>
      </c>
      <c r="AG682" s="3">
        <f t="shared" si="106"/>
        <v>0.18597239638509933</v>
      </c>
      <c r="AH682" t="str">
        <f t="shared" si="107"/>
        <v>May</v>
      </c>
      <c r="AI682">
        <f t="shared" si="108"/>
        <v>2024</v>
      </c>
    </row>
    <row r="683" spans="1:35">
      <c r="A683" t="s">
        <v>2140</v>
      </c>
      <c r="B683" s="2">
        <v>45477</v>
      </c>
      <c r="C683" s="2">
        <v>45483</v>
      </c>
      <c r="D683" t="s">
        <v>2141</v>
      </c>
      <c r="E683" t="s">
        <v>85</v>
      </c>
      <c r="F683" t="s">
        <v>104</v>
      </c>
      <c r="G683" t="s">
        <v>39</v>
      </c>
      <c r="H683" t="s">
        <v>365</v>
      </c>
      <c r="I683" t="s">
        <v>366</v>
      </c>
      <c r="J683" t="s">
        <v>55</v>
      </c>
      <c r="K683" t="s">
        <v>56</v>
      </c>
      <c r="L683" t="s">
        <v>2142</v>
      </c>
      <c r="M683" t="s">
        <v>45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46</v>
      </c>
      <c r="U683" t="s">
        <v>82</v>
      </c>
      <c r="V683" t="str">
        <f t="shared" si="99"/>
        <v>Valid</v>
      </c>
      <c r="W683">
        <f t="shared" si="100"/>
        <v>6</v>
      </c>
      <c r="Y683" t="str">
        <f t="shared" si="101"/>
        <v>OK</v>
      </c>
      <c r="Z683" t="str">
        <f t="shared" si="102"/>
        <v>OK</v>
      </c>
      <c r="AA683" t="str">
        <f t="shared" si="103"/>
        <v>OK</v>
      </c>
      <c r="AB683" t="str">
        <f t="shared" si="104"/>
        <v>Valid</v>
      </c>
      <c r="AC683" t="str">
        <f>IF(OR(AB683="Invalid Discount",V683="Invalid Shipping"),
"Invalid",
IF(OR(Y683="Missing Region",
Z683="Missing Ship Mode",
AA683="Missing Discount",
X683="Flagged for Review"),
"Warning",
"Clean"))</f>
        <v>Clean</v>
      </c>
      <c r="AD683">
        <f t="shared" si="105"/>
        <v>0</v>
      </c>
      <c r="AE683">
        <f>N683*O683*(1-AD683)</f>
        <v>6001.35</v>
      </c>
      <c r="AF683">
        <f>AE683-R683</f>
        <v>1818.3600000000006</v>
      </c>
      <c r="AG683" s="3">
        <f t="shared" si="106"/>
        <v>0.30299182683896131</v>
      </c>
      <c r="AH683" t="str">
        <f t="shared" si="107"/>
        <v>July</v>
      </c>
      <c r="AI683">
        <f t="shared" si="108"/>
        <v>2024</v>
      </c>
    </row>
    <row r="684" spans="1:35">
      <c r="A684" t="s">
        <v>2143</v>
      </c>
      <c r="B684" s="2">
        <v>45693</v>
      </c>
      <c r="C684" s="2">
        <v>45693</v>
      </c>
      <c r="D684" t="s">
        <v>2144</v>
      </c>
      <c r="E684" t="s">
        <v>76</v>
      </c>
      <c r="F684" t="s">
        <v>104</v>
      </c>
      <c r="G684" t="s">
        <v>39</v>
      </c>
      <c r="H684" t="s">
        <v>251</v>
      </c>
      <c r="I684" t="s">
        <v>252</v>
      </c>
      <c r="J684" t="s">
        <v>42</v>
      </c>
      <c r="K684" t="s">
        <v>138</v>
      </c>
      <c r="L684" t="s">
        <v>2145</v>
      </c>
      <c r="M684" t="s">
        <v>58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46</v>
      </c>
      <c r="U684" t="s">
        <v>47</v>
      </c>
      <c r="V684" t="str">
        <f t="shared" si="99"/>
        <v>Valid</v>
      </c>
      <c r="W684">
        <f t="shared" si="100"/>
        <v>0</v>
      </c>
      <c r="Y684" t="str">
        <f t="shared" si="101"/>
        <v>OK</v>
      </c>
      <c r="Z684" t="str">
        <f t="shared" si="102"/>
        <v>OK</v>
      </c>
      <c r="AA684" t="str">
        <f t="shared" si="103"/>
        <v>Missing Discount</v>
      </c>
      <c r="AB684" t="str">
        <f t="shared" si="104"/>
        <v>Valid</v>
      </c>
      <c r="AC684" t="str">
        <f>IF(OR(AB684="Invalid Discount",V684="Invalid Shipping"),
"Invalid",
IF(OR(Y684="Missing Region",
Z684="Missing Ship Mode",
AA684="Missing Discount",
X684="Flagged for Review"),
"Warning",
"Clean"))</f>
        <v>Warning</v>
      </c>
      <c r="AD684">
        <f t="shared" si="105"/>
        <v>0</v>
      </c>
      <c r="AE684">
        <f>N684*O684*(1-AD684)</f>
        <v>7772.34</v>
      </c>
      <c r="AF684">
        <f>AE684-R684</f>
        <v>3658.6800000000003</v>
      </c>
      <c r="AG684" s="3">
        <f t="shared" si="106"/>
        <v>0.47073082237781677</v>
      </c>
      <c r="AH684" t="str">
        <f t="shared" si="107"/>
        <v>February</v>
      </c>
      <c r="AI684">
        <f t="shared" si="108"/>
        <v>2025</v>
      </c>
    </row>
    <row r="685" spans="1:35">
      <c r="A685" t="s">
        <v>2146</v>
      </c>
      <c r="B685" s="2">
        <v>45858</v>
      </c>
      <c r="C685" s="2">
        <v>45862</v>
      </c>
      <c r="D685" t="s">
        <v>2147</v>
      </c>
      <c r="E685" t="s">
        <v>67</v>
      </c>
      <c r="F685" t="s">
        <v>51</v>
      </c>
      <c r="G685" t="s">
        <v>68</v>
      </c>
      <c r="H685" t="s">
        <v>69</v>
      </c>
      <c r="I685" t="s">
        <v>70</v>
      </c>
      <c r="J685" t="s">
        <v>55</v>
      </c>
      <c r="K685" t="s">
        <v>71</v>
      </c>
      <c r="L685" t="s">
        <v>2148</v>
      </c>
      <c r="M685" t="s">
        <v>45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116</v>
      </c>
      <c r="U685" t="s">
        <v>82</v>
      </c>
      <c r="V685" t="str">
        <f t="shared" si="99"/>
        <v>Valid</v>
      </c>
      <c r="W685">
        <f t="shared" si="100"/>
        <v>4</v>
      </c>
      <c r="Y685" t="str">
        <f t="shared" si="101"/>
        <v>OK</v>
      </c>
      <c r="Z685" t="str">
        <f t="shared" si="102"/>
        <v>OK</v>
      </c>
      <c r="AA685" t="str">
        <f t="shared" si="103"/>
        <v>OK</v>
      </c>
      <c r="AB685" t="str">
        <f t="shared" si="104"/>
        <v>Valid</v>
      </c>
      <c r="AC685" t="str">
        <f>IF(OR(AB685="Invalid Discount",V685="Invalid Shipping"),
"Invalid",
IF(OR(Y685="Missing Region",
Z685="Missing Ship Mode",
AA685="Missing Discount",
X685="Flagged for Review"),
"Warning",
"Clean"))</f>
        <v>Clean</v>
      </c>
      <c r="AD685">
        <f t="shared" si="105"/>
        <v>0.2</v>
      </c>
      <c r="AE685">
        <f>N685*O685*(1-AD685)</f>
        <v>7902.9600000000009</v>
      </c>
      <c r="AF685">
        <f>AE685-R685</f>
        <v>2390.9300000000012</v>
      </c>
      <c r="AG685" s="3">
        <f t="shared" si="106"/>
        <v>0.30253601182341816</v>
      </c>
      <c r="AH685" t="str">
        <f t="shared" si="107"/>
        <v>July</v>
      </c>
      <c r="AI685">
        <f t="shared" si="108"/>
        <v>2025</v>
      </c>
    </row>
    <row r="686" spans="1:35">
      <c r="A686" t="s">
        <v>2149</v>
      </c>
      <c r="B686" s="2">
        <v>45859</v>
      </c>
      <c r="C686" s="2">
        <v>45859</v>
      </c>
      <c r="D686" t="s">
        <v>2150</v>
      </c>
      <c r="E686" t="s">
        <v>61</v>
      </c>
      <c r="F686" t="s">
        <v>109</v>
      </c>
      <c r="G686" t="s">
        <v>68</v>
      </c>
      <c r="H686" t="s">
        <v>262</v>
      </c>
      <c r="I686" t="s">
        <v>263</v>
      </c>
      <c r="J686" t="s">
        <v>55</v>
      </c>
      <c r="K686" t="s">
        <v>172</v>
      </c>
      <c r="L686" t="s">
        <v>2151</v>
      </c>
      <c r="M686" t="s">
        <v>64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116</v>
      </c>
      <c r="U686" t="s">
        <v>82</v>
      </c>
      <c r="V686" t="str">
        <f t="shared" si="99"/>
        <v>Valid</v>
      </c>
      <c r="W686">
        <f t="shared" si="100"/>
        <v>0</v>
      </c>
      <c r="Y686" t="str">
        <f t="shared" si="101"/>
        <v>OK</v>
      </c>
      <c r="Z686" t="str">
        <f t="shared" si="102"/>
        <v>OK</v>
      </c>
      <c r="AA686" t="str">
        <f t="shared" si="103"/>
        <v>OK</v>
      </c>
      <c r="AB686" t="str">
        <f t="shared" si="104"/>
        <v>Valid</v>
      </c>
      <c r="AC686" t="str">
        <f>IF(OR(AB686="Invalid Discount",V686="Invalid Shipping"),
"Invalid",
IF(OR(Y686="Missing Region",
Z686="Missing Ship Mode",
AA686="Missing Discount",
X686="Flagged for Review"),
"Warning",
"Clean"))</f>
        <v>Clean</v>
      </c>
      <c r="AD686">
        <f t="shared" si="105"/>
        <v>0.2</v>
      </c>
      <c r="AE686">
        <f>N686*O686*(1-AD686)</f>
        <v>24621.239999999998</v>
      </c>
      <c r="AF686">
        <f>AE686-R686</f>
        <v>7465.7599999999984</v>
      </c>
      <c r="AG686" s="3">
        <f t="shared" si="106"/>
        <v>0.3032243705028666</v>
      </c>
      <c r="AH686" t="str">
        <f t="shared" si="107"/>
        <v>July</v>
      </c>
      <c r="AI686">
        <f t="shared" si="108"/>
        <v>2025</v>
      </c>
    </row>
    <row r="687" spans="1:35">
      <c r="A687" t="s">
        <v>2152</v>
      </c>
      <c r="B687" s="2">
        <v>45931</v>
      </c>
      <c r="C687" s="2">
        <v>45933</v>
      </c>
      <c r="D687" t="s">
        <v>1818</v>
      </c>
      <c r="E687" t="s">
        <v>93</v>
      </c>
      <c r="F687" t="s">
        <v>104</v>
      </c>
      <c r="G687" t="s">
        <v>77</v>
      </c>
      <c r="H687" t="s">
        <v>204</v>
      </c>
      <c r="I687" t="s">
        <v>205</v>
      </c>
      <c r="J687" t="s">
        <v>42</v>
      </c>
      <c r="K687" t="s">
        <v>62</v>
      </c>
      <c r="L687" t="s">
        <v>2153</v>
      </c>
      <c r="M687" t="s">
        <v>73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169</v>
      </c>
      <c r="U687" t="s">
        <v>82</v>
      </c>
      <c r="V687" t="str">
        <f t="shared" si="99"/>
        <v>Valid</v>
      </c>
      <c r="W687">
        <f t="shared" si="100"/>
        <v>2</v>
      </c>
      <c r="Y687" t="str">
        <f t="shared" si="101"/>
        <v>OK</v>
      </c>
      <c r="Z687" t="str">
        <f t="shared" si="102"/>
        <v>OK</v>
      </c>
      <c r="AA687" t="str">
        <f t="shared" si="103"/>
        <v>OK</v>
      </c>
      <c r="AB687" t="str">
        <f t="shared" si="104"/>
        <v>Valid</v>
      </c>
      <c r="AC687" t="str">
        <f>IF(OR(AB687="Invalid Discount",V687="Invalid Shipping"),
"Invalid",
IF(OR(Y687="Missing Region",
Z687="Missing Ship Mode",
AA687="Missing Discount",
X687="Flagged for Review"),
"Warning",
"Clean"))</f>
        <v>Clean</v>
      </c>
      <c r="AD687">
        <f t="shared" si="105"/>
        <v>0.55000000000000004</v>
      </c>
      <c r="AE687">
        <f>N687*O687*(1-AD687)</f>
        <v>3313.5074999999993</v>
      </c>
      <c r="AF687">
        <f>AE687-R687</f>
        <v>-2293.2825000000007</v>
      </c>
      <c r="AG687" s="3">
        <f t="shared" si="106"/>
        <v>-0.69210119488185895</v>
      </c>
      <c r="AH687" t="str">
        <f t="shared" si="107"/>
        <v>October</v>
      </c>
      <c r="AI687">
        <f t="shared" si="108"/>
        <v>2025</v>
      </c>
    </row>
    <row r="688" spans="1:35">
      <c r="A688" t="s">
        <v>2154</v>
      </c>
      <c r="B688" s="2">
        <v>45376</v>
      </c>
      <c r="C688" s="2">
        <v>45384</v>
      </c>
      <c r="D688" t="s">
        <v>2155</v>
      </c>
      <c r="E688" t="s">
        <v>146</v>
      </c>
      <c r="F688" t="s">
        <v>109</v>
      </c>
      <c r="G688" t="s">
        <v>68</v>
      </c>
      <c r="H688" t="s">
        <v>262</v>
      </c>
      <c r="I688" t="s">
        <v>263</v>
      </c>
      <c r="J688" t="s">
        <v>88</v>
      </c>
      <c r="K688" t="s">
        <v>94</v>
      </c>
      <c r="L688" t="s">
        <v>2156</v>
      </c>
      <c r="M688" t="s">
        <v>73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46</v>
      </c>
      <c r="U688" t="s">
        <v>47</v>
      </c>
      <c r="V688" t="str">
        <f t="shared" si="99"/>
        <v>Valid</v>
      </c>
      <c r="W688">
        <f t="shared" si="100"/>
        <v>8</v>
      </c>
      <c r="Y688" t="str">
        <f t="shared" si="101"/>
        <v>OK</v>
      </c>
      <c r="Z688" t="str">
        <f t="shared" si="102"/>
        <v>OK</v>
      </c>
      <c r="AA688" t="str">
        <f t="shared" si="103"/>
        <v>OK</v>
      </c>
      <c r="AB688" t="str">
        <f t="shared" si="104"/>
        <v>Valid</v>
      </c>
      <c r="AC688" t="str">
        <f>IF(OR(AB688="Invalid Discount",V688="Invalid Shipping"),
"Invalid",
IF(OR(Y688="Missing Region",
Z688="Missing Ship Mode",
AA688="Missing Discount",
X688="Flagged for Review"),
"Warning",
"Clean"))</f>
        <v>Clean</v>
      </c>
      <c r="AD688">
        <f t="shared" si="105"/>
        <v>0</v>
      </c>
      <c r="AE688">
        <f>N688*O688*(1-AD688)</f>
        <v>4698.26</v>
      </c>
      <c r="AF688">
        <f>AE688-R688</f>
        <v>2043.3400000000001</v>
      </c>
      <c r="AG688" s="3">
        <f t="shared" si="106"/>
        <v>0.43491420227914163</v>
      </c>
      <c r="AH688" t="str">
        <f t="shared" si="107"/>
        <v>March</v>
      </c>
      <c r="AI688">
        <f t="shared" si="108"/>
        <v>2024</v>
      </c>
    </row>
    <row r="689" spans="1:35">
      <c r="A689" t="s">
        <v>2157</v>
      </c>
      <c r="B689" s="2">
        <v>45938</v>
      </c>
      <c r="C689" s="2">
        <v>45943</v>
      </c>
      <c r="D689" t="s">
        <v>2158</v>
      </c>
      <c r="E689" t="s">
        <v>50</v>
      </c>
      <c r="F689" t="s">
        <v>109</v>
      </c>
      <c r="G689" t="s">
        <v>39</v>
      </c>
      <c r="H689" t="s">
        <v>136</v>
      </c>
      <c r="I689" t="s">
        <v>137</v>
      </c>
      <c r="J689" t="s">
        <v>55</v>
      </c>
      <c r="K689" t="s">
        <v>56</v>
      </c>
      <c r="L689" t="s">
        <v>2159</v>
      </c>
      <c r="M689" t="s">
        <v>64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169</v>
      </c>
      <c r="U689" t="s">
        <v>82</v>
      </c>
      <c r="V689" t="str">
        <f t="shared" si="99"/>
        <v>Valid</v>
      </c>
      <c r="W689">
        <f t="shared" si="100"/>
        <v>5</v>
      </c>
      <c r="Y689" t="str">
        <f t="shared" si="101"/>
        <v>OK</v>
      </c>
      <c r="Z689" t="str">
        <f t="shared" si="102"/>
        <v>OK</v>
      </c>
      <c r="AA689" t="str">
        <f t="shared" si="103"/>
        <v>OK</v>
      </c>
      <c r="AB689" t="str">
        <f t="shared" si="104"/>
        <v>Valid</v>
      </c>
      <c r="AC689" t="str">
        <f>IF(OR(AB689="Invalid Discount",V689="Invalid Shipping"),
"Invalid",
IF(OR(Y689="Missing Region",
Z689="Missing Ship Mode",
AA689="Missing Discount",
X689="Flagged for Review"),
"Warning",
"Clean"))</f>
        <v>Clean</v>
      </c>
      <c r="AD689">
        <f t="shared" si="105"/>
        <v>0</v>
      </c>
      <c r="AE689">
        <f>N689*O689*(1-AD689)</f>
        <v>688.2</v>
      </c>
      <c r="AF689">
        <f>AE689-R689</f>
        <v>190.52000000000004</v>
      </c>
      <c r="AG689" s="3">
        <f t="shared" si="106"/>
        <v>0.27683812845103173</v>
      </c>
      <c r="AH689" t="str">
        <f t="shared" si="107"/>
        <v>October</v>
      </c>
      <c r="AI689">
        <f t="shared" si="108"/>
        <v>2025</v>
      </c>
    </row>
    <row r="690" spans="1:35">
      <c r="A690" t="s">
        <v>2160</v>
      </c>
      <c r="B690" s="2">
        <v>45714</v>
      </c>
      <c r="C690" s="2">
        <v>45715</v>
      </c>
      <c r="D690" t="s">
        <v>2161</v>
      </c>
      <c r="E690" t="s">
        <v>93</v>
      </c>
      <c r="F690" t="s">
        <v>109</v>
      </c>
      <c r="G690" t="s">
        <v>39</v>
      </c>
      <c r="H690" t="s">
        <v>251</v>
      </c>
      <c r="I690" t="s">
        <v>252</v>
      </c>
      <c r="J690" t="s">
        <v>42</v>
      </c>
      <c r="K690" t="s">
        <v>62</v>
      </c>
      <c r="L690" t="s">
        <v>2162</v>
      </c>
      <c r="M690" t="s">
        <v>45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46</v>
      </c>
      <c r="U690" t="s">
        <v>47</v>
      </c>
      <c r="V690" t="str">
        <f t="shared" si="99"/>
        <v>Valid</v>
      </c>
      <c r="W690">
        <f t="shared" si="100"/>
        <v>1</v>
      </c>
      <c r="Y690" t="str">
        <f t="shared" si="101"/>
        <v>OK</v>
      </c>
      <c r="Z690" t="str">
        <f t="shared" si="102"/>
        <v>OK</v>
      </c>
      <c r="AA690" t="str">
        <f t="shared" si="103"/>
        <v>OK</v>
      </c>
      <c r="AB690" t="str">
        <f t="shared" si="104"/>
        <v>Valid</v>
      </c>
      <c r="AC690" t="str">
        <f>IF(OR(AB690="Invalid Discount",V690="Invalid Shipping"),
"Invalid",
IF(OR(Y690="Missing Region",
Z690="Missing Ship Mode",
AA690="Missing Discount",
X690="Flagged for Review"),
"Warning",
"Clean"))</f>
        <v>Clean</v>
      </c>
      <c r="AD690">
        <f t="shared" si="105"/>
        <v>0.15</v>
      </c>
      <c r="AE690">
        <f>N690*O690*(1-AD690)</f>
        <v>15492.065999999999</v>
      </c>
      <c r="AF690">
        <f>AE690-R690</f>
        <v>2910.8359999999993</v>
      </c>
      <c r="AG690" s="3">
        <f t="shared" si="106"/>
        <v>0.18789204745190213</v>
      </c>
      <c r="AH690" t="str">
        <f t="shared" si="107"/>
        <v>February</v>
      </c>
      <c r="AI690">
        <f t="shared" si="108"/>
        <v>2025</v>
      </c>
    </row>
    <row r="691" spans="1:35">
      <c r="A691" t="s">
        <v>2163</v>
      </c>
      <c r="B691" s="2">
        <v>45570</v>
      </c>
      <c r="C691" s="2">
        <v>45571</v>
      </c>
      <c r="D691" t="s">
        <v>2164</v>
      </c>
      <c r="E691" t="s">
        <v>155</v>
      </c>
      <c r="F691" t="s">
        <v>51</v>
      </c>
      <c r="G691" t="s">
        <v>39</v>
      </c>
      <c r="H691" t="s">
        <v>136</v>
      </c>
      <c r="I691" t="s">
        <v>137</v>
      </c>
      <c r="J691" t="s">
        <v>55</v>
      </c>
      <c r="K691" t="s">
        <v>56</v>
      </c>
      <c r="L691" t="s">
        <v>2165</v>
      </c>
      <c r="M691" t="s">
        <v>73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169</v>
      </c>
      <c r="U691" t="s">
        <v>82</v>
      </c>
      <c r="V691" t="str">
        <f t="shared" si="99"/>
        <v>Valid</v>
      </c>
      <c r="W691">
        <f t="shared" si="100"/>
        <v>1</v>
      </c>
      <c r="Y691" t="str">
        <f t="shared" si="101"/>
        <v>OK</v>
      </c>
      <c r="Z691" t="str">
        <f t="shared" si="102"/>
        <v>OK</v>
      </c>
      <c r="AA691" t="str">
        <f t="shared" si="103"/>
        <v>OK</v>
      </c>
      <c r="AB691" t="str">
        <f t="shared" si="104"/>
        <v>Valid</v>
      </c>
      <c r="AC691" t="str">
        <f>IF(OR(AB691="Invalid Discount",V691="Invalid Shipping"),
"Invalid",
IF(OR(Y691="Missing Region",
Z691="Missing Ship Mode",
AA691="Missing Discount",
X691="Flagged for Review"),
"Warning",
"Clean"))</f>
        <v>Clean</v>
      </c>
      <c r="AD691">
        <f t="shared" si="105"/>
        <v>0.15</v>
      </c>
      <c r="AE691">
        <f>N691*O691*(1-AD691)</f>
        <v>3745.2870000000003</v>
      </c>
      <c r="AF691">
        <f>AE691-R691</f>
        <v>1442.6370000000002</v>
      </c>
      <c r="AG691" s="3">
        <f t="shared" si="106"/>
        <v>0.38518730340291679</v>
      </c>
      <c r="AH691" t="str">
        <f t="shared" si="107"/>
        <v>October</v>
      </c>
      <c r="AI691">
        <f t="shared" si="108"/>
        <v>2024</v>
      </c>
    </row>
    <row r="692" spans="1:35">
      <c r="A692" t="s">
        <v>2166</v>
      </c>
      <c r="B692" s="2">
        <v>45546</v>
      </c>
      <c r="C692" s="2">
        <v>45550</v>
      </c>
      <c r="D692" t="s">
        <v>2167</v>
      </c>
      <c r="E692" t="s">
        <v>146</v>
      </c>
      <c r="F692" t="s">
        <v>104</v>
      </c>
      <c r="G692" t="s">
        <v>68</v>
      </c>
      <c r="H692" t="s">
        <v>262</v>
      </c>
      <c r="I692" t="s">
        <v>263</v>
      </c>
      <c r="J692" t="s">
        <v>42</v>
      </c>
      <c r="K692" t="s">
        <v>62</v>
      </c>
      <c r="L692" t="s">
        <v>2168</v>
      </c>
      <c r="M692" t="s">
        <v>73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169</v>
      </c>
      <c r="U692" t="s">
        <v>117</v>
      </c>
      <c r="V692" t="str">
        <f t="shared" si="99"/>
        <v>Valid</v>
      </c>
      <c r="W692">
        <f t="shared" si="100"/>
        <v>4</v>
      </c>
      <c r="Y692" t="str">
        <f t="shared" si="101"/>
        <v>OK</v>
      </c>
      <c r="Z692" t="str">
        <f t="shared" si="102"/>
        <v>OK</v>
      </c>
      <c r="AA692" t="str">
        <f t="shared" si="103"/>
        <v>OK</v>
      </c>
      <c r="AB692" t="str">
        <f t="shared" si="104"/>
        <v>Valid</v>
      </c>
      <c r="AC692" t="str">
        <f>IF(OR(AB692="Invalid Discount",V692="Invalid Shipping"),
"Invalid",
IF(OR(Y692="Missing Region",
Z692="Missing Ship Mode",
AA692="Missing Discount",
X692="Flagged for Review"),
"Warning",
"Clean"))</f>
        <v>Clean</v>
      </c>
      <c r="AD692">
        <f t="shared" si="105"/>
        <v>0</v>
      </c>
      <c r="AE692">
        <f>N692*O692*(1-AD692)</f>
        <v>3462.52</v>
      </c>
      <c r="AF692">
        <f>AE692-R692</f>
        <v>665.23</v>
      </c>
      <c r="AG692" s="3">
        <f t="shared" si="106"/>
        <v>0.19212307798944123</v>
      </c>
      <c r="AH692" t="str">
        <f t="shared" si="107"/>
        <v>September</v>
      </c>
      <c r="AI692">
        <f t="shared" si="108"/>
        <v>2024</v>
      </c>
    </row>
    <row r="693" spans="1:35">
      <c r="A693" t="s">
        <v>2169</v>
      </c>
      <c r="B693" s="2">
        <v>45641</v>
      </c>
      <c r="C693" s="2">
        <v>45642</v>
      </c>
      <c r="D693" t="s">
        <v>2170</v>
      </c>
      <c r="E693" t="s">
        <v>155</v>
      </c>
      <c r="F693" t="s">
        <v>38</v>
      </c>
      <c r="G693" t="s">
        <v>52</v>
      </c>
      <c r="H693" t="s">
        <v>53</v>
      </c>
      <c r="I693" t="s">
        <v>54</v>
      </c>
      <c r="J693" t="s">
        <v>88</v>
      </c>
      <c r="K693" t="s">
        <v>94</v>
      </c>
      <c r="L693" t="s">
        <v>2171</v>
      </c>
      <c r="M693" t="s">
        <v>45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46</v>
      </c>
      <c r="U693" t="s">
        <v>47</v>
      </c>
      <c r="V693" t="str">
        <f t="shared" si="99"/>
        <v>Valid</v>
      </c>
      <c r="W693">
        <f t="shared" si="100"/>
        <v>1</v>
      </c>
      <c r="Y693" t="str">
        <f t="shared" si="101"/>
        <v>OK</v>
      </c>
      <c r="Z693" t="str">
        <f t="shared" si="102"/>
        <v>OK</v>
      </c>
      <c r="AA693" t="str">
        <f t="shared" si="103"/>
        <v>OK</v>
      </c>
      <c r="AB693" t="str">
        <f t="shared" si="104"/>
        <v>Valid</v>
      </c>
      <c r="AC693" t="str">
        <f>IF(OR(AB693="Invalid Discount",V693="Invalid Shipping"),
"Invalid",
IF(OR(Y693="Missing Region",
Z693="Missing Ship Mode",
AA693="Missing Discount",
X693="Flagged for Review"),
"Warning",
"Clean"))</f>
        <v>Clean</v>
      </c>
      <c r="AD693">
        <f t="shared" si="105"/>
        <v>0.05</v>
      </c>
      <c r="AE693">
        <f>N693*O693*(1-AD693)</f>
        <v>8767.1699999999983</v>
      </c>
      <c r="AF693">
        <f>AE693-R693</f>
        <v>3668.9699999999984</v>
      </c>
      <c r="AG693" s="3">
        <f t="shared" si="106"/>
        <v>0.41848966085977563</v>
      </c>
      <c r="AH693" t="str">
        <f t="shared" si="107"/>
        <v>December</v>
      </c>
      <c r="AI693">
        <f t="shared" si="108"/>
        <v>2024</v>
      </c>
    </row>
    <row r="694" spans="1:35">
      <c r="A694" t="s">
        <v>2172</v>
      </c>
      <c r="B694" s="2">
        <v>45935</v>
      </c>
      <c r="C694" s="2">
        <v>45940</v>
      </c>
      <c r="D694" t="s">
        <v>2173</v>
      </c>
      <c r="E694" t="s">
        <v>61</v>
      </c>
      <c r="F694" t="s">
        <v>104</v>
      </c>
      <c r="G694" t="s">
        <v>68</v>
      </c>
      <c r="H694" t="s">
        <v>189</v>
      </c>
      <c r="I694" t="s">
        <v>190</v>
      </c>
      <c r="J694" t="s">
        <v>55</v>
      </c>
      <c r="K694" t="s">
        <v>71</v>
      </c>
      <c r="L694" t="s">
        <v>2174</v>
      </c>
      <c r="M694" t="s">
        <v>45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46</v>
      </c>
      <c r="U694" t="s">
        <v>47</v>
      </c>
      <c r="V694" t="str">
        <f t="shared" si="99"/>
        <v>Valid</v>
      </c>
      <c r="W694">
        <f t="shared" si="100"/>
        <v>5</v>
      </c>
      <c r="Y694" t="str">
        <f t="shared" si="101"/>
        <v>OK</v>
      </c>
      <c r="Z694" t="str">
        <f t="shared" si="102"/>
        <v>OK</v>
      </c>
      <c r="AA694" t="str">
        <f t="shared" si="103"/>
        <v>OK</v>
      </c>
      <c r="AB694" t="str">
        <f t="shared" si="104"/>
        <v>Valid</v>
      </c>
      <c r="AC694" t="str">
        <f>IF(OR(AB694="Invalid Discount",V694="Invalid Shipping"),
"Invalid",
IF(OR(Y694="Missing Region",
Z694="Missing Ship Mode",
AA694="Missing Discount",
X694="Flagged for Review"),
"Warning",
"Clean"))</f>
        <v>Clean</v>
      </c>
      <c r="AD694">
        <f t="shared" si="105"/>
        <v>0.1</v>
      </c>
      <c r="AE694">
        <f>N694*O694*(1-AD694)</f>
        <v>8516.4480000000003</v>
      </c>
      <c r="AF694">
        <f>AE694-R694</f>
        <v>2612.6379999999999</v>
      </c>
      <c r="AG694" s="3">
        <f t="shared" si="106"/>
        <v>0.30677554774009069</v>
      </c>
      <c r="AH694" t="str">
        <f t="shared" si="107"/>
        <v>October</v>
      </c>
      <c r="AI694">
        <f t="shared" si="108"/>
        <v>2025</v>
      </c>
    </row>
    <row r="695" spans="1:35">
      <c r="A695" t="s">
        <v>2175</v>
      </c>
      <c r="B695" s="2">
        <v>45750</v>
      </c>
      <c r="C695" s="2">
        <v>45758</v>
      </c>
      <c r="D695" t="s">
        <v>2176</v>
      </c>
      <c r="E695" t="s">
        <v>67</v>
      </c>
      <c r="F695" t="s">
        <v>38</v>
      </c>
      <c r="G695" t="s">
        <v>68</v>
      </c>
      <c r="H695" t="s">
        <v>262</v>
      </c>
      <c r="I695" t="s">
        <v>263</v>
      </c>
      <c r="J695" t="s">
        <v>55</v>
      </c>
      <c r="K695" t="s">
        <v>172</v>
      </c>
      <c r="L695" t="s">
        <v>2177</v>
      </c>
      <c r="M695" t="s">
        <v>45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46</v>
      </c>
      <c r="U695" t="s">
        <v>47</v>
      </c>
      <c r="V695" t="str">
        <f t="shared" si="99"/>
        <v>Valid</v>
      </c>
      <c r="W695">
        <f t="shared" si="100"/>
        <v>8</v>
      </c>
      <c r="Y695" t="str">
        <f t="shared" si="101"/>
        <v>OK</v>
      </c>
      <c r="Z695" t="str">
        <f t="shared" si="102"/>
        <v>OK</v>
      </c>
      <c r="AA695" t="str">
        <f t="shared" si="103"/>
        <v>OK</v>
      </c>
      <c r="AB695" t="str">
        <f t="shared" si="104"/>
        <v>Valid</v>
      </c>
      <c r="AC695" t="str">
        <f>IF(OR(AB695="Invalid Discount",V695="Invalid Shipping"),
"Invalid",
IF(OR(Y695="Missing Region",
Z695="Missing Ship Mode",
AA695="Missing Discount",
X695="Flagged for Review"),
"Warning",
"Clean"))</f>
        <v>Clean</v>
      </c>
      <c r="AD695">
        <f t="shared" si="105"/>
        <v>0.05</v>
      </c>
      <c r="AE695">
        <f>N695*O695*(1-AD695)</f>
        <v>11826.844500000001</v>
      </c>
      <c r="AF695">
        <f>AE695-R695</f>
        <v>3790.884500000001</v>
      </c>
      <c r="AG695" s="3">
        <f t="shared" si="106"/>
        <v>0.32053220112938835</v>
      </c>
      <c r="AH695" t="str">
        <f t="shared" si="107"/>
        <v>April</v>
      </c>
      <c r="AI695">
        <f t="shared" si="108"/>
        <v>2025</v>
      </c>
    </row>
    <row r="696" spans="1:35">
      <c r="A696" t="s">
        <v>2178</v>
      </c>
      <c r="B696" s="2">
        <v>45870</v>
      </c>
      <c r="C696" s="2">
        <v>45878</v>
      </c>
      <c r="D696" t="s">
        <v>1151</v>
      </c>
      <c r="E696" t="s">
        <v>61</v>
      </c>
      <c r="F696" t="s">
        <v>38</v>
      </c>
      <c r="G696" t="s">
        <v>68</v>
      </c>
      <c r="H696" t="s">
        <v>98</v>
      </c>
      <c r="I696" t="s">
        <v>99</v>
      </c>
      <c r="J696" t="s">
        <v>42</v>
      </c>
      <c r="K696" t="s">
        <v>138</v>
      </c>
      <c r="L696" t="s">
        <v>2179</v>
      </c>
      <c r="M696" t="s">
        <v>64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46</v>
      </c>
      <c r="U696" t="s">
        <v>47</v>
      </c>
      <c r="V696" t="str">
        <f t="shared" si="99"/>
        <v>Valid</v>
      </c>
      <c r="W696">
        <f t="shared" si="100"/>
        <v>8</v>
      </c>
      <c r="Y696" t="str">
        <f t="shared" si="101"/>
        <v>OK</v>
      </c>
      <c r="Z696" t="str">
        <f t="shared" si="102"/>
        <v>OK</v>
      </c>
      <c r="AA696" t="str">
        <f t="shared" si="103"/>
        <v>OK</v>
      </c>
      <c r="AB696" t="str">
        <f t="shared" si="104"/>
        <v>Valid</v>
      </c>
      <c r="AC696" t="str">
        <f>IF(OR(AB696="Invalid Discount",V696="Invalid Shipping"),
"Invalid",
IF(OR(Y696="Missing Region",
Z696="Missing Ship Mode",
AA696="Missing Discount",
X696="Flagged for Review"),
"Warning",
"Clean"))</f>
        <v>Clean</v>
      </c>
      <c r="AD696">
        <f t="shared" si="105"/>
        <v>0.15</v>
      </c>
      <c r="AE696">
        <f>N696*O696*(1-AD696)</f>
        <v>11629.019999999999</v>
      </c>
      <c r="AF696">
        <f>AE696-R696</f>
        <v>2001.8099999999995</v>
      </c>
      <c r="AG696" s="3">
        <f t="shared" si="106"/>
        <v>0.17213918283741877</v>
      </c>
      <c r="AH696" t="str">
        <f t="shared" si="107"/>
        <v>August</v>
      </c>
      <c r="AI696">
        <f t="shared" si="108"/>
        <v>2025</v>
      </c>
    </row>
    <row r="697" spans="1:35">
      <c r="A697" t="s">
        <v>2180</v>
      </c>
      <c r="B697" s="2">
        <v>45474</v>
      </c>
      <c r="C697" s="2">
        <v>45474</v>
      </c>
      <c r="D697" t="s">
        <v>2181</v>
      </c>
      <c r="E697" t="s">
        <v>142</v>
      </c>
      <c r="F697" t="s">
        <v>38</v>
      </c>
      <c r="G697" t="s">
        <v>77</v>
      </c>
      <c r="H697" t="s">
        <v>86</v>
      </c>
      <c r="I697" t="s">
        <v>87</v>
      </c>
      <c r="J697" t="s">
        <v>88</v>
      </c>
      <c r="K697" t="s">
        <v>289</v>
      </c>
      <c r="L697" t="s">
        <v>2182</v>
      </c>
      <c r="M697" t="s">
        <v>73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46</v>
      </c>
      <c r="U697" t="s">
        <v>47</v>
      </c>
      <c r="V697" t="str">
        <f t="shared" si="99"/>
        <v>Valid</v>
      </c>
      <c r="W697">
        <f t="shared" si="100"/>
        <v>0</v>
      </c>
      <c r="Y697" t="str">
        <f t="shared" si="101"/>
        <v>OK</v>
      </c>
      <c r="Z697" t="str">
        <f t="shared" si="102"/>
        <v>OK</v>
      </c>
      <c r="AA697" t="str">
        <f t="shared" si="103"/>
        <v>OK</v>
      </c>
      <c r="AB697" t="str">
        <f t="shared" si="104"/>
        <v>Valid</v>
      </c>
      <c r="AC697" t="str">
        <f>IF(OR(AB697="Invalid Discount",V697="Invalid Shipping"),
"Invalid",
IF(OR(Y697="Missing Region",
Z697="Missing Ship Mode",
AA697="Missing Discount",
X697="Flagged for Review"),
"Warning",
"Clean"))</f>
        <v>Clean</v>
      </c>
      <c r="AD697">
        <f t="shared" si="105"/>
        <v>0</v>
      </c>
      <c r="AE697">
        <f>N697*O697*(1-AD697)</f>
        <v>1029.56</v>
      </c>
      <c r="AF697">
        <f>AE697-R697</f>
        <v>403.2299999999999</v>
      </c>
      <c r="AG697" s="3">
        <f t="shared" si="106"/>
        <v>0.39165274486188267</v>
      </c>
      <c r="AH697" t="str">
        <f t="shared" si="107"/>
        <v>July</v>
      </c>
      <c r="AI697">
        <f t="shared" si="108"/>
        <v>2024</v>
      </c>
    </row>
    <row r="698" spans="1:35">
      <c r="A698" t="s">
        <v>2183</v>
      </c>
      <c r="B698" s="2">
        <v>45922</v>
      </c>
      <c r="C698" s="2">
        <v>45925</v>
      </c>
      <c r="D698" t="s">
        <v>2184</v>
      </c>
      <c r="E698" t="s">
        <v>61</v>
      </c>
      <c r="F698" t="s">
        <v>51</v>
      </c>
      <c r="G698" t="s">
        <v>68</v>
      </c>
      <c r="H698" t="s">
        <v>199</v>
      </c>
      <c r="I698" t="s">
        <v>200</v>
      </c>
      <c r="J698" t="s">
        <v>88</v>
      </c>
      <c r="K698" t="s">
        <v>185</v>
      </c>
      <c r="L698" t="s">
        <v>2185</v>
      </c>
      <c r="M698" t="s">
        <v>219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46</v>
      </c>
      <c r="U698" t="s">
        <v>47</v>
      </c>
      <c r="V698" t="str">
        <f t="shared" si="99"/>
        <v>Valid</v>
      </c>
      <c r="W698">
        <f t="shared" si="100"/>
        <v>3</v>
      </c>
      <c r="Y698" t="str">
        <f t="shared" si="101"/>
        <v>OK</v>
      </c>
      <c r="Z698" t="str">
        <f t="shared" si="102"/>
        <v>Missing Ship Mode</v>
      </c>
      <c r="AA698" t="str">
        <f t="shared" si="103"/>
        <v>OK</v>
      </c>
      <c r="AB698" t="str">
        <f t="shared" si="104"/>
        <v>Valid</v>
      </c>
      <c r="AC698" t="str">
        <f>IF(OR(AB698="Invalid Discount",V698="Invalid Shipping"),
"Invalid",
IF(OR(Y698="Missing Region",
Z698="Missing Ship Mode",
AA698="Missing Discount",
X698="Flagged for Review"),
"Warning",
"Clean"))</f>
        <v>Warning</v>
      </c>
      <c r="AD698">
        <f t="shared" si="105"/>
        <v>0.25</v>
      </c>
      <c r="AE698">
        <f>N698*O698*(1-AD698)</f>
        <v>3536.5199999999995</v>
      </c>
      <c r="AF698">
        <f>AE698-R698</f>
        <v>1434.1099999999997</v>
      </c>
      <c r="AG698" s="3">
        <f t="shared" si="106"/>
        <v>0.40551446054313278</v>
      </c>
      <c r="AH698" t="str">
        <f t="shared" si="107"/>
        <v>September</v>
      </c>
      <c r="AI698">
        <f t="shared" si="108"/>
        <v>2025</v>
      </c>
    </row>
    <row r="699" spans="1:35">
      <c r="A699" t="s">
        <v>2186</v>
      </c>
      <c r="B699" s="2">
        <v>45717</v>
      </c>
      <c r="C699" s="2">
        <v>45723</v>
      </c>
      <c r="D699" t="s">
        <v>2187</v>
      </c>
      <c r="E699" t="s">
        <v>67</v>
      </c>
      <c r="F699" t="s">
        <v>104</v>
      </c>
      <c r="G699" t="s">
        <v>68</v>
      </c>
      <c r="H699" t="s">
        <v>98</v>
      </c>
      <c r="I699" t="s">
        <v>99</v>
      </c>
      <c r="J699" t="s">
        <v>42</v>
      </c>
      <c r="K699" t="s">
        <v>105</v>
      </c>
      <c r="L699" t="s">
        <v>2188</v>
      </c>
      <c r="M699" t="s">
        <v>64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116</v>
      </c>
      <c r="U699" t="s">
        <v>117</v>
      </c>
      <c r="V699" t="str">
        <f t="shared" si="99"/>
        <v>Valid</v>
      </c>
      <c r="W699">
        <f t="shared" si="100"/>
        <v>6</v>
      </c>
      <c r="Y699" t="str">
        <f t="shared" si="101"/>
        <v>OK</v>
      </c>
      <c r="Z699" t="str">
        <f t="shared" si="102"/>
        <v>OK</v>
      </c>
      <c r="AA699" t="str">
        <f t="shared" si="103"/>
        <v>Missing Discount</v>
      </c>
      <c r="AB699" t="str">
        <f t="shared" si="104"/>
        <v>Valid</v>
      </c>
      <c r="AC699" t="str">
        <f>IF(OR(AB699="Invalid Discount",V699="Invalid Shipping"),
"Invalid",
IF(OR(Y699="Missing Region",
Z699="Missing Ship Mode",
AA699="Missing Discount",
X699="Flagged for Review"),
"Warning",
"Clean"))</f>
        <v>Warning</v>
      </c>
      <c r="AD699">
        <f t="shared" si="105"/>
        <v>0</v>
      </c>
      <c r="AE699">
        <f>N699*O699*(1-AD699)</f>
        <v>3970.0499999999997</v>
      </c>
      <c r="AF699">
        <f>AE699-R699</f>
        <v>2120.75</v>
      </c>
      <c r="AG699" s="3">
        <f t="shared" si="106"/>
        <v>0.53418722686112274</v>
      </c>
      <c r="AH699" t="str">
        <f t="shared" si="107"/>
        <v>March</v>
      </c>
      <c r="AI699">
        <f t="shared" si="108"/>
        <v>2025</v>
      </c>
    </row>
    <row r="700" spans="1:35">
      <c r="A700" t="s">
        <v>2189</v>
      </c>
      <c r="B700" s="2">
        <v>45549</v>
      </c>
      <c r="C700" s="2">
        <v>45549</v>
      </c>
      <c r="D700" t="s">
        <v>2190</v>
      </c>
      <c r="E700" t="s">
        <v>50</v>
      </c>
      <c r="F700" t="s">
        <v>104</v>
      </c>
      <c r="G700" t="s">
        <v>39</v>
      </c>
      <c r="H700" t="s">
        <v>40</v>
      </c>
      <c r="I700" t="s">
        <v>41</v>
      </c>
      <c r="J700" t="s">
        <v>88</v>
      </c>
      <c r="K700" t="s">
        <v>289</v>
      </c>
      <c r="L700" t="s">
        <v>2191</v>
      </c>
      <c r="M700" t="s">
        <v>73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46</v>
      </c>
      <c r="U700" t="s">
        <v>117</v>
      </c>
      <c r="V700" t="str">
        <f t="shared" si="99"/>
        <v>Valid</v>
      </c>
      <c r="W700">
        <f t="shared" si="100"/>
        <v>0</v>
      </c>
      <c r="Y700" t="str">
        <f t="shared" si="101"/>
        <v>OK</v>
      </c>
      <c r="Z700" t="str">
        <f t="shared" si="102"/>
        <v>OK</v>
      </c>
      <c r="AA700" t="str">
        <f t="shared" si="103"/>
        <v>OK</v>
      </c>
      <c r="AB700" t="str">
        <f t="shared" si="104"/>
        <v>Valid</v>
      </c>
      <c r="AC700" t="str">
        <f>IF(OR(AB700="Invalid Discount",V700="Invalid Shipping"),
"Invalid",
IF(OR(Y700="Missing Region",
Z700="Missing Ship Mode",
AA700="Missing Discount",
X700="Flagged for Review"),
"Warning",
"Clean"))</f>
        <v>Clean</v>
      </c>
      <c r="AD700">
        <f t="shared" si="105"/>
        <v>0.15</v>
      </c>
      <c r="AE700">
        <f>N700*O700*(1-AD700)</f>
        <v>27755.287999999997</v>
      </c>
      <c r="AF700">
        <f>AE700-R700</f>
        <v>4003.377999999997</v>
      </c>
      <c r="AG700" s="3">
        <f t="shared" si="106"/>
        <v>0.14423838801456493</v>
      </c>
      <c r="AH700" t="str">
        <f t="shared" si="107"/>
        <v>September</v>
      </c>
      <c r="AI700">
        <f t="shared" si="108"/>
        <v>2024</v>
      </c>
    </row>
    <row r="701" spans="1:35">
      <c r="A701" t="s">
        <v>2192</v>
      </c>
      <c r="B701" s="2">
        <v>45454</v>
      </c>
      <c r="C701" s="2">
        <v>45454</v>
      </c>
      <c r="D701" t="s">
        <v>2193</v>
      </c>
      <c r="E701" t="s">
        <v>67</v>
      </c>
      <c r="F701" t="s">
        <v>51</v>
      </c>
      <c r="G701" t="s">
        <v>68</v>
      </c>
      <c r="H701" t="s">
        <v>189</v>
      </c>
      <c r="I701" t="s">
        <v>190</v>
      </c>
      <c r="J701" t="s">
        <v>55</v>
      </c>
      <c r="K701" t="s">
        <v>172</v>
      </c>
      <c r="L701" t="s">
        <v>2194</v>
      </c>
      <c r="M701" t="s">
        <v>73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46</v>
      </c>
      <c r="U701" t="s">
        <v>47</v>
      </c>
      <c r="V701" t="str">
        <f t="shared" si="99"/>
        <v>Valid</v>
      </c>
      <c r="W701">
        <f t="shared" si="100"/>
        <v>0</v>
      </c>
      <c r="Y701" t="str">
        <f t="shared" si="101"/>
        <v>OK</v>
      </c>
      <c r="Z701" t="str">
        <f t="shared" si="102"/>
        <v>OK</v>
      </c>
      <c r="AA701" t="str">
        <f t="shared" si="103"/>
        <v>OK</v>
      </c>
      <c r="AB701" t="str">
        <f t="shared" si="104"/>
        <v>Valid</v>
      </c>
      <c r="AC701" t="str">
        <f>IF(OR(AB701="Invalid Discount",V701="Invalid Shipping"),
"Invalid",
IF(OR(Y701="Missing Region",
Z701="Missing Ship Mode",
AA701="Missing Discount",
X701="Flagged for Review"),
"Warning",
"Clean"))</f>
        <v>Clean</v>
      </c>
      <c r="AD701">
        <f t="shared" si="105"/>
        <v>0.25</v>
      </c>
      <c r="AE701">
        <f>N701*O701*(1-AD701)</f>
        <v>9450.7425000000003</v>
      </c>
      <c r="AF701">
        <f>AE701-R701</f>
        <v>1652.1824999999999</v>
      </c>
      <c r="AG701" s="3">
        <f t="shared" si="106"/>
        <v>0.17482039109625511</v>
      </c>
      <c r="AH701" t="str">
        <f t="shared" si="107"/>
        <v>June</v>
      </c>
      <c r="AI701">
        <f t="shared" si="108"/>
        <v>2024</v>
      </c>
    </row>
    <row r="702" spans="1:35">
      <c r="A702" t="s">
        <v>2195</v>
      </c>
      <c r="B702" s="2">
        <v>45553</v>
      </c>
      <c r="C702" s="2">
        <v>45556</v>
      </c>
      <c r="D702" t="s">
        <v>2196</v>
      </c>
      <c r="E702" t="s">
        <v>93</v>
      </c>
      <c r="F702" t="s">
        <v>104</v>
      </c>
      <c r="G702" t="s">
        <v>52</v>
      </c>
      <c r="H702" t="s">
        <v>113</v>
      </c>
      <c r="I702" t="s">
        <v>114</v>
      </c>
      <c r="J702" t="s">
        <v>88</v>
      </c>
      <c r="K702" t="s">
        <v>289</v>
      </c>
      <c r="L702" t="s">
        <v>2197</v>
      </c>
      <c r="M702" t="s">
        <v>73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46</v>
      </c>
      <c r="U702" t="s">
        <v>47</v>
      </c>
      <c r="V702" t="str">
        <f t="shared" si="99"/>
        <v>Valid</v>
      </c>
      <c r="W702">
        <f t="shared" si="100"/>
        <v>3</v>
      </c>
      <c r="Y702" t="str">
        <f t="shared" si="101"/>
        <v>OK</v>
      </c>
      <c r="Z702" t="str">
        <f t="shared" si="102"/>
        <v>OK</v>
      </c>
      <c r="AA702" t="str">
        <f t="shared" si="103"/>
        <v>OK</v>
      </c>
      <c r="AB702" t="str">
        <f t="shared" si="104"/>
        <v>Valid</v>
      </c>
      <c r="AC702" t="str">
        <f>IF(OR(AB702="Invalid Discount",V702="Invalid Shipping"),
"Invalid",
IF(OR(Y702="Missing Region",
Z702="Missing Ship Mode",
AA702="Missing Discount",
X702="Flagged for Review"),
"Warning",
"Clean"))</f>
        <v>Clean</v>
      </c>
      <c r="AD702">
        <f t="shared" si="105"/>
        <v>0.15</v>
      </c>
      <c r="AE702">
        <f>N702*O702*(1-AD702)</f>
        <v>7792.5450000000001</v>
      </c>
      <c r="AF702">
        <f>AE702-R702</f>
        <v>3100.8150000000005</v>
      </c>
      <c r="AG702" s="3">
        <f t="shared" si="106"/>
        <v>0.39792070498149201</v>
      </c>
      <c r="AH702" t="str">
        <f t="shared" si="107"/>
        <v>September</v>
      </c>
      <c r="AI702">
        <f t="shared" si="108"/>
        <v>2024</v>
      </c>
    </row>
    <row r="703" spans="1:35">
      <c r="A703" t="s">
        <v>2198</v>
      </c>
      <c r="B703" s="2">
        <v>45412</v>
      </c>
      <c r="C703" s="2">
        <v>45416</v>
      </c>
      <c r="D703" t="s">
        <v>2199</v>
      </c>
      <c r="E703" t="s">
        <v>155</v>
      </c>
      <c r="F703" t="s">
        <v>51</v>
      </c>
      <c r="G703" t="s">
        <v>77</v>
      </c>
      <c r="H703" t="s">
        <v>194</v>
      </c>
      <c r="I703" t="s">
        <v>195</v>
      </c>
      <c r="J703" t="s">
        <v>42</v>
      </c>
      <c r="K703" t="s">
        <v>62</v>
      </c>
      <c r="L703" t="s">
        <v>2200</v>
      </c>
      <c r="M703" t="s">
        <v>58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46</v>
      </c>
      <c r="U703" t="s">
        <v>117</v>
      </c>
      <c r="V703" t="str">
        <f t="shared" si="99"/>
        <v>Valid</v>
      </c>
      <c r="W703">
        <f t="shared" si="100"/>
        <v>4</v>
      </c>
      <c r="Y703" t="str">
        <f t="shared" si="101"/>
        <v>OK</v>
      </c>
      <c r="Z703" t="str">
        <f t="shared" si="102"/>
        <v>OK</v>
      </c>
      <c r="AA703" t="str">
        <f t="shared" si="103"/>
        <v>OK</v>
      </c>
      <c r="AB703" t="str">
        <f t="shared" si="104"/>
        <v>Valid</v>
      </c>
      <c r="AC703" t="str">
        <f>IF(OR(AB703="Invalid Discount",V703="Invalid Shipping"),
"Invalid",
IF(OR(Y703="Missing Region",
Z703="Missing Ship Mode",
AA703="Missing Discount",
X703="Flagged for Review"),
"Warning",
"Clean"))</f>
        <v>Clean</v>
      </c>
      <c r="AD703">
        <f t="shared" si="105"/>
        <v>0</v>
      </c>
      <c r="AE703">
        <f>N703*O703*(1-AD703)</f>
        <v>8574.58</v>
      </c>
      <c r="AF703">
        <f>AE703-R703</f>
        <v>1888.7699999999995</v>
      </c>
      <c r="AG703" s="3">
        <f t="shared" si="106"/>
        <v>0.22027551203674112</v>
      </c>
      <c r="AH703" t="str">
        <f t="shared" si="107"/>
        <v>April</v>
      </c>
      <c r="AI703">
        <f t="shared" si="108"/>
        <v>2024</v>
      </c>
    </row>
    <row r="704" spans="1:35">
      <c r="A704" t="s">
        <v>2201</v>
      </c>
      <c r="B704" s="2">
        <v>45690</v>
      </c>
      <c r="C704" s="2">
        <v>45694</v>
      </c>
      <c r="D704" t="s">
        <v>2202</v>
      </c>
      <c r="E704" t="s">
        <v>37</v>
      </c>
      <c r="F704" t="s">
        <v>51</v>
      </c>
      <c r="G704" t="s">
        <v>77</v>
      </c>
      <c r="H704" t="s">
        <v>40</v>
      </c>
      <c r="I704" t="s">
        <v>123</v>
      </c>
      <c r="J704" t="s">
        <v>55</v>
      </c>
      <c r="K704" t="s">
        <v>56</v>
      </c>
      <c r="L704" t="s">
        <v>2203</v>
      </c>
      <c r="M704" t="s">
        <v>45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46</v>
      </c>
      <c r="U704" t="s">
        <v>47</v>
      </c>
      <c r="V704" t="str">
        <f t="shared" si="99"/>
        <v>Valid</v>
      </c>
      <c r="W704">
        <f t="shared" si="100"/>
        <v>4</v>
      </c>
      <c r="Y704" t="str">
        <f t="shared" si="101"/>
        <v>OK</v>
      </c>
      <c r="Z704" t="str">
        <f t="shared" si="102"/>
        <v>OK</v>
      </c>
      <c r="AA704" t="str">
        <f t="shared" si="103"/>
        <v>OK</v>
      </c>
      <c r="AB704" t="str">
        <f t="shared" si="104"/>
        <v>Valid</v>
      </c>
      <c r="AC704" t="str">
        <f>IF(OR(AB704="Invalid Discount",V704="Invalid Shipping"),
"Invalid",
IF(OR(Y704="Missing Region",
Z704="Missing Ship Mode",
AA704="Missing Discount",
X704="Flagged for Review"),
"Warning",
"Clean"))</f>
        <v>Clean</v>
      </c>
      <c r="AD704">
        <f t="shared" si="105"/>
        <v>0.1</v>
      </c>
      <c r="AE704">
        <f>N704*O704*(1-AD704)</f>
        <v>2692.8180000000002</v>
      </c>
      <c r="AF704">
        <f>AE704-R704</f>
        <v>872.73800000000028</v>
      </c>
      <c r="AG704" s="3">
        <f t="shared" si="106"/>
        <v>0.32409839803506968</v>
      </c>
      <c r="AH704" t="str">
        <f t="shared" si="107"/>
        <v>February</v>
      </c>
      <c r="AI704">
        <f t="shared" si="108"/>
        <v>2025</v>
      </c>
    </row>
    <row r="705" spans="1:35">
      <c r="A705" t="s">
        <v>2204</v>
      </c>
      <c r="B705" s="2">
        <v>45584</v>
      </c>
      <c r="C705" s="2">
        <v>45585</v>
      </c>
      <c r="D705" t="s">
        <v>2205</v>
      </c>
      <c r="E705" t="s">
        <v>103</v>
      </c>
      <c r="F705" t="s">
        <v>104</v>
      </c>
      <c r="G705" t="s">
        <v>39</v>
      </c>
      <c r="H705" t="s">
        <v>40</v>
      </c>
      <c r="I705" t="s">
        <v>41</v>
      </c>
      <c r="J705" t="s">
        <v>55</v>
      </c>
      <c r="K705" t="s">
        <v>56</v>
      </c>
      <c r="L705" t="s">
        <v>2206</v>
      </c>
      <c r="M705" t="s">
        <v>64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46</v>
      </c>
      <c r="U705" t="s">
        <v>47</v>
      </c>
      <c r="V705" t="str">
        <f t="shared" si="99"/>
        <v>Valid</v>
      </c>
      <c r="W705">
        <f t="shared" si="100"/>
        <v>1</v>
      </c>
      <c r="Y705" t="str">
        <f t="shared" si="101"/>
        <v>OK</v>
      </c>
      <c r="Z705" t="str">
        <f t="shared" si="102"/>
        <v>OK</v>
      </c>
      <c r="AA705" t="str">
        <f t="shared" si="103"/>
        <v>OK</v>
      </c>
      <c r="AB705" t="str">
        <f t="shared" si="104"/>
        <v>Valid</v>
      </c>
      <c r="AC705" t="str">
        <f>IF(OR(AB705="Invalid Discount",V705="Invalid Shipping"),
"Invalid",
IF(OR(Y705="Missing Region",
Z705="Missing Ship Mode",
AA705="Missing Discount",
X705="Flagged for Review"),
"Warning",
"Clean"))</f>
        <v>Clean</v>
      </c>
      <c r="AD705">
        <f t="shared" si="105"/>
        <v>0.1</v>
      </c>
      <c r="AE705">
        <f>N705*O705*(1-AD705)</f>
        <v>1035.027</v>
      </c>
      <c r="AF705">
        <f>AE705-R705</f>
        <v>180.67700000000002</v>
      </c>
      <c r="AG705" s="3">
        <f t="shared" si="106"/>
        <v>0.1745625959516032</v>
      </c>
      <c r="AH705" t="str">
        <f t="shared" si="107"/>
        <v>October</v>
      </c>
      <c r="AI705">
        <f t="shared" si="108"/>
        <v>2024</v>
      </c>
    </row>
    <row r="706" spans="1:35">
      <c r="A706" t="s">
        <v>2207</v>
      </c>
      <c r="B706" s="2">
        <v>45364</v>
      </c>
      <c r="C706" s="2">
        <v>45371</v>
      </c>
      <c r="D706" t="s">
        <v>2208</v>
      </c>
      <c r="E706" t="s">
        <v>128</v>
      </c>
      <c r="F706" t="s">
        <v>109</v>
      </c>
      <c r="G706" t="s">
        <v>68</v>
      </c>
      <c r="H706" t="s">
        <v>262</v>
      </c>
      <c r="I706" t="s">
        <v>263</v>
      </c>
      <c r="J706" t="s">
        <v>55</v>
      </c>
      <c r="K706" t="s">
        <v>172</v>
      </c>
      <c r="L706" t="s">
        <v>2209</v>
      </c>
      <c r="M706" t="s">
        <v>219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46</v>
      </c>
      <c r="U706" t="s">
        <v>47</v>
      </c>
      <c r="V706" t="str">
        <f t="shared" si="99"/>
        <v>Valid</v>
      </c>
      <c r="W706">
        <f t="shared" si="100"/>
        <v>7</v>
      </c>
      <c r="Y706" t="str">
        <f t="shared" si="101"/>
        <v>OK</v>
      </c>
      <c r="Z706" t="str">
        <f t="shared" si="102"/>
        <v>Missing Ship Mode</v>
      </c>
      <c r="AA706" t="str">
        <f t="shared" si="103"/>
        <v>OK</v>
      </c>
      <c r="AB706" t="str">
        <f t="shared" si="104"/>
        <v>Valid</v>
      </c>
      <c r="AC706" t="str">
        <f>IF(OR(AB706="Invalid Discount",V706="Invalid Shipping"),
"Invalid",
IF(OR(Y706="Missing Region",
Z706="Missing Ship Mode",
AA706="Missing Discount",
X706="Flagged for Review"),
"Warning",
"Clean"))</f>
        <v>Warning</v>
      </c>
      <c r="AD706">
        <f t="shared" si="105"/>
        <v>0.15</v>
      </c>
      <c r="AE706">
        <f>N706*O706*(1-AD706)</f>
        <v>2401.7855</v>
      </c>
      <c r="AF706">
        <f>AE706-R706</f>
        <v>581.44550000000004</v>
      </c>
      <c r="AG706" s="3">
        <f t="shared" si="106"/>
        <v>0.24208885431276025</v>
      </c>
      <c r="AH706" t="str">
        <f t="shared" si="107"/>
        <v>March</v>
      </c>
      <c r="AI706">
        <f t="shared" si="108"/>
        <v>2024</v>
      </c>
    </row>
    <row r="707" spans="1:35">
      <c r="A707" t="s">
        <v>2210</v>
      </c>
      <c r="B707" s="2">
        <v>45543</v>
      </c>
      <c r="C707" s="2">
        <v>45549</v>
      </c>
      <c r="D707" t="s">
        <v>2211</v>
      </c>
      <c r="E707" t="s">
        <v>155</v>
      </c>
      <c r="F707" t="s">
        <v>38</v>
      </c>
      <c r="G707" t="s">
        <v>39</v>
      </c>
      <c r="H707" t="s">
        <v>40</v>
      </c>
      <c r="I707" t="s">
        <v>41</v>
      </c>
      <c r="J707" t="s">
        <v>42</v>
      </c>
      <c r="K707" t="s">
        <v>167</v>
      </c>
      <c r="L707" t="s">
        <v>2212</v>
      </c>
      <c r="M707" t="s">
        <v>73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46</v>
      </c>
      <c r="U707" t="s">
        <v>47</v>
      </c>
      <c r="V707" t="str">
        <f t="shared" ref="V707:V770" si="109">IF(C707&lt;B707,"Invalid Shipping","Valid")</f>
        <v>Valid</v>
      </c>
      <c r="W707">
        <f t="shared" ref="W707:W770" si="110">C707-B707</f>
        <v>6</v>
      </c>
      <c r="Y707" t="str">
        <f t="shared" ref="Y707:Y770" si="111">IF(G707="Unknown","Missing Region","OK")</f>
        <v>OK</v>
      </c>
      <c r="Z707" t="str">
        <f t="shared" ref="Z707:Z770" si="112">IF(M707="Unknown","Missing Ship Mode","OK")</f>
        <v>OK</v>
      </c>
      <c r="AA707" t="str">
        <f t="shared" ref="AA707:AA770" si="113">IF(P707="","Missing Discount","OK")</f>
        <v>OK</v>
      </c>
      <c r="AB707" t="str">
        <f t="shared" ref="AB707:AB770" si="114">IF(OR(P707&lt;0,P707&gt;1),"Invalid Discount","Valid")</f>
        <v>Valid</v>
      </c>
      <c r="AC707" t="str">
        <f>IF(OR(AB707="Invalid Discount",V707="Invalid Shipping"),
"Invalid",
IF(OR(Y707="Missing Region",
Z707="Missing Ship Mode",
AA707="Missing Discount",
X707="Flagged for Review"),
"Warning",
"Clean"))</f>
        <v>Clean</v>
      </c>
      <c r="AD707">
        <f t="shared" ref="AD707:AD770" si="115">IF(P707="",0,P707)</f>
        <v>0.05</v>
      </c>
      <c r="AE707">
        <f>N707*O707*(1-AD707)</f>
        <v>16015.8125</v>
      </c>
      <c r="AF707">
        <f>AE707-R707</f>
        <v>4663.4325000000008</v>
      </c>
      <c r="AG707" s="3">
        <f t="shared" ref="AG707:AG770" si="116">IF(AE707=0,0,AF707/AE707)</f>
        <v>0.29117676671102394</v>
      </c>
      <c r="AH707" t="str">
        <f t="shared" ref="AH707:AH770" si="117">TEXT(B707,"mmmm")</f>
        <v>September</v>
      </c>
      <c r="AI707">
        <f t="shared" ref="AI707:AI770" si="118">YEAR(B707)</f>
        <v>2024</v>
      </c>
    </row>
    <row r="708" spans="1:35">
      <c r="A708" t="s">
        <v>2213</v>
      </c>
      <c r="B708" s="2">
        <v>45467</v>
      </c>
      <c r="C708" s="2">
        <v>45471</v>
      </c>
      <c r="D708" t="s">
        <v>2214</v>
      </c>
      <c r="E708" t="s">
        <v>61</v>
      </c>
      <c r="F708" t="s">
        <v>51</v>
      </c>
      <c r="G708" t="s">
        <v>52</v>
      </c>
      <c r="H708" t="s">
        <v>53</v>
      </c>
      <c r="I708" t="s">
        <v>54</v>
      </c>
      <c r="J708" t="s">
        <v>42</v>
      </c>
      <c r="K708" t="s">
        <v>43</v>
      </c>
      <c r="L708" t="s">
        <v>2215</v>
      </c>
      <c r="M708" t="s">
        <v>58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46</v>
      </c>
      <c r="U708" t="s">
        <v>47</v>
      </c>
      <c r="V708" t="str">
        <f t="shared" si="109"/>
        <v>Valid</v>
      </c>
      <c r="W708">
        <f t="shared" si="110"/>
        <v>4</v>
      </c>
      <c r="Y708" t="str">
        <f t="shared" si="111"/>
        <v>OK</v>
      </c>
      <c r="Z708" t="str">
        <f t="shared" si="112"/>
        <v>OK</v>
      </c>
      <c r="AA708" t="str">
        <f t="shared" si="113"/>
        <v>OK</v>
      </c>
      <c r="AB708" t="str">
        <f t="shared" si="114"/>
        <v>Valid</v>
      </c>
      <c r="AC708" t="str">
        <f>IF(OR(AB708="Invalid Discount",V708="Invalid Shipping"),
"Invalid",
IF(OR(Y708="Missing Region",
Z708="Missing Ship Mode",
AA708="Missing Discount",
X708="Flagged for Review"),
"Warning",
"Clean"))</f>
        <v>Clean</v>
      </c>
      <c r="AD708">
        <f t="shared" si="115"/>
        <v>0.1</v>
      </c>
      <c r="AE708">
        <f>N708*O708*(1-AD708)</f>
        <v>1901.4750000000001</v>
      </c>
      <c r="AF708">
        <f>AE708-R708</f>
        <v>547.19500000000016</v>
      </c>
      <c r="AG708" s="3">
        <f t="shared" si="116"/>
        <v>0.28777396494826391</v>
      </c>
      <c r="AH708" t="str">
        <f t="shared" si="117"/>
        <v>June</v>
      </c>
      <c r="AI708">
        <f t="shared" si="118"/>
        <v>2024</v>
      </c>
    </row>
    <row r="709" spans="1:35">
      <c r="A709" t="s">
        <v>2216</v>
      </c>
      <c r="B709" s="2">
        <v>45832</v>
      </c>
      <c r="C709" s="2">
        <v>45834</v>
      </c>
      <c r="D709" t="s">
        <v>2217</v>
      </c>
      <c r="E709" t="s">
        <v>85</v>
      </c>
      <c r="F709" t="s">
        <v>38</v>
      </c>
      <c r="G709" t="s">
        <v>39</v>
      </c>
      <c r="H709" t="s">
        <v>40</v>
      </c>
      <c r="I709" t="s">
        <v>41</v>
      </c>
      <c r="J709" t="s">
        <v>88</v>
      </c>
      <c r="K709" t="s">
        <v>89</v>
      </c>
      <c r="L709" t="s">
        <v>2218</v>
      </c>
      <c r="M709" t="s">
        <v>58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46</v>
      </c>
      <c r="U709" t="s">
        <v>47</v>
      </c>
      <c r="V709" t="str">
        <f t="shared" si="109"/>
        <v>Valid</v>
      </c>
      <c r="W709">
        <f t="shared" si="110"/>
        <v>2</v>
      </c>
      <c r="Y709" t="str">
        <f t="shared" si="111"/>
        <v>OK</v>
      </c>
      <c r="Z709" t="str">
        <f t="shared" si="112"/>
        <v>OK</v>
      </c>
      <c r="AA709" t="str">
        <f t="shared" si="113"/>
        <v>OK</v>
      </c>
      <c r="AB709" t="str">
        <f t="shared" si="114"/>
        <v>Valid</v>
      </c>
      <c r="AC709" t="str">
        <f>IF(OR(AB709="Invalid Discount",V709="Invalid Shipping"),
"Invalid",
IF(OR(Y709="Missing Region",
Z709="Missing Ship Mode",
AA709="Missing Discount",
X709="Flagged for Review"),
"Warning",
"Clean"))</f>
        <v>Clean</v>
      </c>
      <c r="AD709">
        <f t="shared" si="115"/>
        <v>0.55000000000000004</v>
      </c>
      <c r="AE709">
        <f>N709*O709*(1-AD709)</f>
        <v>8375.9849999999988</v>
      </c>
      <c r="AF709">
        <f>AE709-R709</f>
        <v>-3302.3350000000009</v>
      </c>
      <c r="AG709" s="3">
        <f t="shared" si="116"/>
        <v>-0.39426228676388525</v>
      </c>
      <c r="AH709" t="str">
        <f t="shared" si="117"/>
        <v>June</v>
      </c>
      <c r="AI709">
        <f t="shared" si="118"/>
        <v>2025</v>
      </c>
    </row>
    <row r="710" spans="1:35">
      <c r="A710" t="s">
        <v>2219</v>
      </c>
      <c r="B710" s="2">
        <v>45736</v>
      </c>
      <c r="C710" s="2">
        <v>45742</v>
      </c>
      <c r="D710" t="s">
        <v>2220</v>
      </c>
      <c r="E710" t="s">
        <v>146</v>
      </c>
      <c r="F710" t="s">
        <v>38</v>
      </c>
      <c r="G710" t="s">
        <v>52</v>
      </c>
      <c r="H710" t="s">
        <v>180</v>
      </c>
      <c r="I710" t="s">
        <v>181</v>
      </c>
      <c r="J710" t="s">
        <v>55</v>
      </c>
      <c r="K710" t="s">
        <v>172</v>
      </c>
      <c r="L710" t="s">
        <v>2221</v>
      </c>
      <c r="M710" t="s">
        <v>64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46</v>
      </c>
      <c r="U710" t="s">
        <v>47</v>
      </c>
      <c r="V710" t="str">
        <f t="shared" si="109"/>
        <v>Valid</v>
      </c>
      <c r="W710">
        <f t="shared" si="110"/>
        <v>6</v>
      </c>
      <c r="Y710" t="str">
        <f t="shared" si="111"/>
        <v>OK</v>
      </c>
      <c r="Z710" t="str">
        <f t="shared" si="112"/>
        <v>OK</v>
      </c>
      <c r="AA710" t="str">
        <f t="shared" si="113"/>
        <v>OK</v>
      </c>
      <c r="AB710" t="str">
        <f t="shared" si="114"/>
        <v>Valid</v>
      </c>
      <c r="AC710" t="str">
        <f>IF(OR(AB710="Invalid Discount",V710="Invalid Shipping"),
"Invalid",
IF(OR(Y710="Missing Region",
Z710="Missing Ship Mode",
AA710="Missing Discount",
X710="Flagged for Review"),
"Warning",
"Clean"))</f>
        <v>Clean</v>
      </c>
      <c r="AD710">
        <f t="shared" si="115"/>
        <v>0.05</v>
      </c>
      <c r="AE710">
        <f>N710*O710*(1-AD710)</f>
        <v>16559.108</v>
      </c>
      <c r="AF710">
        <f>AE710-R710</f>
        <v>3325.3179999999993</v>
      </c>
      <c r="AG710" s="3">
        <f t="shared" si="116"/>
        <v>0.20081504390212318</v>
      </c>
      <c r="AH710" t="str">
        <f t="shared" si="117"/>
        <v>March</v>
      </c>
      <c r="AI710">
        <f t="shared" si="118"/>
        <v>2025</v>
      </c>
    </row>
    <row r="711" spans="1:35">
      <c r="A711" t="s">
        <v>2222</v>
      </c>
      <c r="B711" s="2">
        <v>45676</v>
      </c>
      <c r="C711" s="2">
        <v>45680</v>
      </c>
      <c r="D711" t="s">
        <v>2223</v>
      </c>
      <c r="E711" t="s">
        <v>279</v>
      </c>
      <c r="F711" t="s">
        <v>109</v>
      </c>
      <c r="G711" t="s">
        <v>39</v>
      </c>
      <c r="H711" t="s">
        <v>136</v>
      </c>
      <c r="I711" t="s">
        <v>137</v>
      </c>
      <c r="J711" t="s">
        <v>88</v>
      </c>
      <c r="K711" t="s">
        <v>185</v>
      </c>
      <c r="L711" t="s">
        <v>2224</v>
      </c>
      <c r="M711" t="s">
        <v>58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46</v>
      </c>
      <c r="U711" t="s">
        <v>82</v>
      </c>
      <c r="V711" t="str">
        <f t="shared" si="109"/>
        <v>Valid</v>
      </c>
      <c r="W711">
        <f t="shared" si="110"/>
        <v>4</v>
      </c>
      <c r="Y711" t="str">
        <f t="shared" si="111"/>
        <v>OK</v>
      </c>
      <c r="Z711" t="str">
        <f t="shared" si="112"/>
        <v>OK</v>
      </c>
      <c r="AA711" t="str">
        <f t="shared" si="113"/>
        <v>OK</v>
      </c>
      <c r="AB711" t="str">
        <f t="shared" si="114"/>
        <v>Valid</v>
      </c>
      <c r="AC711" t="str">
        <f>IF(OR(AB711="Invalid Discount",V711="Invalid Shipping"),
"Invalid",
IF(OR(Y711="Missing Region",
Z711="Missing Ship Mode",
AA711="Missing Discount",
X711="Flagged for Review"),
"Warning",
"Clean"))</f>
        <v>Clean</v>
      </c>
      <c r="AD711">
        <f t="shared" si="115"/>
        <v>0.15</v>
      </c>
      <c r="AE711">
        <f>N711*O711*(1-AD711)</f>
        <v>8110.0879999999988</v>
      </c>
      <c r="AF711">
        <f>AE711-R711</f>
        <v>1692.7679999999991</v>
      </c>
      <c r="AG711" s="3">
        <f t="shared" si="116"/>
        <v>0.2087237524426368</v>
      </c>
      <c r="AH711" t="str">
        <f t="shared" si="117"/>
        <v>January</v>
      </c>
      <c r="AI711">
        <f t="shared" si="118"/>
        <v>2025</v>
      </c>
    </row>
    <row r="712" spans="1:35">
      <c r="A712" t="s">
        <v>2225</v>
      </c>
      <c r="B712" s="2">
        <v>45485</v>
      </c>
      <c r="C712" s="2">
        <v>45492</v>
      </c>
      <c r="D712" t="s">
        <v>2226</v>
      </c>
      <c r="E712" t="s">
        <v>85</v>
      </c>
      <c r="F712" t="s">
        <v>104</v>
      </c>
      <c r="G712" t="s">
        <v>39</v>
      </c>
      <c r="H712" t="s">
        <v>136</v>
      </c>
      <c r="I712" t="s">
        <v>137</v>
      </c>
      <c r="J712" t="s">
        <v>42</v>
      </c>
      <c r="K712" t="s">
        <v>62</v>
      </c>
      <c r="L712" t="s">
        <v>2227</v>
      </c>
      <c r="M712" t="s">
        <v>45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46</v>
      </c>
      <c r="U712" t="s">
        <v>47</v>
      </c>
      <c r="V712" t="str">
        <f t="shared" si="109"/>
        <v>Valid</v>
      </c>
      <c r="W712">
        <f t="shared" si="110"/>
        <v>7</v>
      </c>
      <c r="Y712" t="str">
        <f t="shared" si="111"/>
        <v>OK</v>
      </c>
      <c r="Z712" t="str">
        <f t="shared" si="112"/>
        <v>OK</v>
      </c>
      <c r="AA712" t="str">
        <f t="shared" si="113"/>
        <v>OK</v>
      </c>
      <c r="AB712" t="str">
        <f t="shared" si="114"/>
        <v>Valid</v>
      </c>
      <c r="AC712" t="str">
        <f>IF(OR(AB712="Invalid Discount",V712="Invalid Shipping"),
"Invalid",
IF(OR(Y712="Missing Region",
Z712="Missing Ship Mode",
AA712="Missing Discount",
X712="Flagged for Review"),
"Warning",
"Clean"))</f>
        <v>Clean</v>
      </c>
      <c r="AD712">
        <f t="shared" si="115"/>
        <v>0.05</v>
      </c>
      <c r="AE712">
        <f>N712*O712*(1-AD712)</f>
        <v>7406.01</v>
      </c>
      <c r="AF712">
        <f>AE712-R712</f>
        <v>1464.2700000000004</v>
      </c>
      <c r="AG712" s="3">
        <f t="shared" si="116"/>
        <v>0.19771374869869207</v>
      </c>
      <c r="AH712" t="str">
        <f t="shared" si="117"/>
        <v>July</v>
      </c>
      <c r="AI712">
        <f t="shared" si="118"/>
        <v>2024</v>
      </c>
    </row>
    <row r="713" spans="1:35">
      <c r="A713" t="s">
        <v>2228</v>
      </c>
      <c r="B713" s="2">
        <v>45690</v>
      </c>
      <c r="C713" s="2">
        <v>45690</v>
      </c>
      <c r="D713" t="s">
        <v>2229</v>
      </c>
      <c r="E713" t="s">
        <v>279</v>
      </c>
      <c r="F713" t="s">
        <v>104</v>
      </c>
      <c r="G713" t="s">
        <v>52</v>
      </c>
      <c r="H713" t="s">
        <v>113</v>
      </c>
      <c r="I713" t="s">
        <v>114</v>
      </c>
      <c r="J713" t="s">
        <v>88</v>
      </c>
      <c r="K713" t="s">
        <v>289</v>
      </c>
      <c r="L713" t="s">
        <v>2230</v>
      </c>
      <c r="M713" t="s">
        <v>64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125</v>
      </c>
      <c r="U713" t="s">
        <v>117</v>
      </c>
      <c r="V713" t="str">
        <f t="shared" si="109"/>
        <v>Valid</v>
      </c>
      <c r="W713">
        <f t="shared" si="110"/>
        <v>0</v>
      </c>
      <c r="Y713" t="str">
        <f t="shared" si="111"/>
        <v>OK</v>
      </c>
      <c r="Z713" t="str">
        <f t="shared" si="112"/>
        <v>OK</v>
      </c>
      <c r="AA713" t="str">
        <f t="shared" si="113"/>
        <v>OK</v>
      </c>
      <c r="AB713" t="str">
        <f t="shared" si="114"/>
        <v>Valid</v>
      </c>
      <c r="AC713" t="str">
        <f>IF(OR(AB713="Invalid Discount",V713="Invalid Shipping"),
"Invalid",
IF(OR(Y713="Missing Region",
Z713="Missing Ship Mode",
AA713="Missing Discount",
X713="Flagged for Review"),
"Warning",
"Clean"))</f>
        <v>Clean</v>
      </c>
      <c r="AD713">
        <f t="shared" si="115"/>
        <v>0.05</v>
      </c>
      <c r="AE713">
        <f>N713*O713*(1-AD713)</f>
        <v>4110.4124999999995</v>
      </c>
      <c r="AF713">
        <f>AE713-R713</f>
        <v>1716.2724999999996</v>
      </c>
      <c r="AG713" s="3">
        <f t="shared" si="116"/>
        <v>0.41754264322619683</v>
      </c>
      <c r="AH713" t="str">
        <f t="shared" si="117"/>
        <v>February</v>
      </c>
      <c r="AI713">
        <f t="shared" si="118"/>
        <v>2025</v>
      </c>
    </row>
    <row r="714" spans="1:35">
      <c r="A714" t="s">
        <v>2231</v>
      </c>
      <c r="B714" s="2">
        <v>45332</v>
      </c>
      <c r="C714" s="2">
        <v>45340</v>
      </c>
      <c r="D714" t="s">
        <v>2232</v>
      </c>
      <c r="E714" t="s">
        <v>61</v>
      </c>
      <c r="F714" t="s">
        <v>109</v>
      </c>
      <c r="G714" t="s">
        <v>77</v>
      </c>
      <c r="H714" t="s">
        <v>86</v>
      </c>
      <c r="I714" t="s">
        <v>87</v>
      </c>
      <c r="J714" t="s">
        <v>55</v>
      </c>
      <c r="K714" t="s">
        <v>80</v>
      </c>
      <c r="L714" t="s">
        <v>2233</v>
      </c>
      <c r="M714" t="s">
        <v>64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46</v>
      </c>
      <c r="U714" t="s">
        <v>47</v>
      </c>
      <c r="V714" t="str">
        <f t="shared" si="109"/>
        <v>Valid</v>
      </c>
      <c r="W714">
        <f t="shared" si="110"/>
        <v>8</v>
      </c>
      <c r="Y714" t="str">
        <f t="shared" si="111"/>
        <v>OK</v>
      </c>
      <c r="Z714" t="str">
        <f t="shared" si="112"/>
        <v>OK</v>
      </c>
      <c r="AA714" t="str">
        <f t="shared" si="113"/>
        <v>OK</v>
      </c>
      <c r="AB714" t="str">
        <f t="shared" si="114"/>
        <v>Valid</v>
      </c>
      <c r="AC714" t="str">
        <f>IF(OR(AB714="Invalid Discount",V714="Invalid Shipping"),
"Invalid",
IF(OR(Y714="Missing Region",
Z714="Missing Ship Mode",
AA714="Missing Discount",
X714="Flagged for Review"),
"Warning",
"Clean"))</f>
        <v>Clean</v>
      </c>
      <c r="AD714">
        <f t="shared" si="115"/>
        <v>0</v>
      </c>
      <c r="AE714">
        <f>N714*O714*(1-AD714)</f>
        <v>9680.0199999999986</v>
      </c>
      <c r="AF714">
        <f>AE714-R714</f>
        <v>2803.3599999999988</v>
      </c>
      <c r="AG714" s="3">
        <f t="shared" si="116"/>
        <v>0.28960270743242256</v>
      </c>
      <c r="AH714" t="str">
        <f t="shared" si="117"/>
        <v>February</v>
      </c>
      <c r="AI714">
        <f t="shared" si="118"/>
        <v>2024</v>
      </c>
    </row>
    <row r="715" spans="1:35">
      <c r="A715" t="s">
        <v>2234</v>
      </c>
      <c r="B715" s="2">
        <v>45814</v>
      </c>
      <c r="C715" s="2">
        <v>45818</v>
      </c>
      <c r="D715" t="s">
        <v>614</v>
      </c>
      <c r="E715" t="s">
        <v>50</v>
      </c>
      <c r="F715" t="s">
        <v>38</v>
      </c>
      <c r="G715" t="s">
        <v>77</v>
      </c>
      <c r="H715" t="s">
        <v>40</v>
      </c>
      <c r="I715" t="s">
        <v>123</v>
      </c>
      <c r="J715" t="s">
        <v>88</v>
      </c>
      <c r="K715" t="s">
        <v>289</v>
      </c>
      <c r="L715" t="s">
        <v>2235</v>
      </c>
      <c r="M715" t="s">
        <v>45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46</v>
      </c>
      <c r="U715" t="s">
        <v>47</v>
      </c>
      <c r="V715" t="str">
        <f t="shared" si="109"/>
        <v>Valid</v>
      </c>
      <c r="W715">
        <f t="shared" si="110"/>
        <v>4</v>
      </c>
      <c r="Y715" t="str">
        <f t="shared" si="111"/>
        <v>OK</v>
      </c>
      <c r="Z715" t="str">
        <f t="shared" si="112"/>
        <v>OK</v>
      </c>
      <c r="AA715" t="str">
        <f t="shared" si="113"/>
        <v>OK</v>
      </c>
      <c r="AB715" t="str">
        <f t="shared" si="114"/>
        <v>Valid</v>
      </c>
      <c r="AC715" t="str">
        <f>IF(OR(AB715="Invalid Discount",V715="Invalid Shipping"),
"Invalid",
IF(OR(Y715="Missing Region",
Z715="Missing Ship Mode",
AA715="Missing Discount",
X715="Flagged for Review"),
"Warning",
"Clean"))</f>
        <v>Clean</v>
      </c>
      <c r="AD715">
        <f t="shared" si="115"/>
        <v>0.25</v>
      </c>
      <c r="AE715">
        <f>N715*O715*(1-AD715)</f>
        <v>217.47750000000002</v>
      </c>
      <c r="AF715">
        <f>AE715-R715</f>
        <v>85.347500000000025</v>
      </c>
      <c r="AG715" s="3">
        <f t="shared" si="116"/>
        <v>0.39244289639158081</v>
      </c>
      <c r="AH715" t="str">
        <f t="shared" si="117"/>
        <v>June</v>
      </c>
      <c r="AI715">
        <f t="shared" si="118"/>
        <v>2025</v>
      </c>
    </row>
    <row r="716" spans="1:35">
      <c r="A716" t="s">
        <v>2236</v>
      </c>
      <c r="B716" s="2">
        <v>45738</v>
      </c>
      <c r="C716" s="2">
        <v>45739</v>
      </c>
      <c r="D716" t="s">
        <v>2237</v>
      </c>
      <c r="E716" t="s">
        <v>37</v>
      </c>
      <c r="F716" t="s">
        <v>109</v>
      </c>
      <c r="G716" t="s">
        <v>39</v>
      </c>
      <c r="H716" t="s">
        <v>365</v>
      </c>
      <c r="I716" t="s">
        <v>366</v>
      </c>
      <c r="J716" t="s">
        <v>88</v>
      </c>
      <c r="K716" t="s">
        <v>94</v>
      </c>
      <c r="L716" t="s">
        <v>2238</v>
      </c>
      <c r="M716" t="s">
        <v>73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46</v>
      </c>
      <c r="U716" t="s">
        <v>47</v>
      </c>
      <c r="V716" t="str">
        <f t="shared" si="109"/>
        <v>Valid</v>
      </c>
      <c r="W716">
        <f t="shared" si="110"/>
        <v>1</v>
      </c>
      <c r="Y716" t="str">
        <f t="shared" si="111"/>
        <v>OK</v>
      </c>
      <c r="Z716" t="str">
        <f t="shared" si="112"/>
        <v>OK</v>
      </c>
      <c r="AA716" t="str">
        <f t="shared" si="113"/>
        <v>OK</v>
      </c>
      <c r="AB716" t="str">
        <f t="shared" si="114"/>
        <v>Valid</v>
      </c>
      <c r="AC716" t="str">
        <f>IF(OR(AB716="Invalid Discount",V716="Invalid Shipping"),
"Invalid",
IF(OR(Y716="Missing Region",
Z716="Missing Ship Mode",
AA716="Missing Discount",
X716="Flagged for Review"),
"Warning",
"Clean"))</f>
        <v>Clean</v>
      </c>
      <c r="AD716">
        <f t="shared" si="115"/>
        <v>0</v>
      </c>
      <c r="AE716">
        <f>N716*O716*(1-AD716)</f>
        <v>18675.18</v>
      </c>
      <c r="AF716">
        <f>AE716-R716</f>
        <v>4700.4799999999996</v>
      </c>
      <c r="AG716" s="3">
        <f t="shared" si="116"/>
        <v>0.25169663692665878</v>
      </c>
      <c r="AH716" t="str">
        <f t="shared" si="117"/>
        <v>March</v>
      </c>
      <c r="AI716">
        <f t="shared" si="118"/>
        <v>2025</v>
      </c>
    </row>
    <row r="717" spans="1:35">
      <c r="A717" t="s">
        <v>2239</v>
      </c>
      <c r="B717" s="2">
        <v>45891</v>
      </c>
      <c r="C717" s="2">
        <v>45896</v>
      </c>
      <c r="D717" t="s">
        <v>2240</v>
      </c>
      <c r="E717" t="s">
        <v>128</v>
      </c>
      <c r="F717" t="s">
        <v>38</v>
      </c>
      <c r="G717" t="s">
        <v>39</v>
      </c>
      <c r="H717" t="s">
        <v>251</v>
      </c>
      <c r="I717" t="s">
        <v>252</v>
      </c>
      <c r="J717" t="s">
        <v>55</v>
      </c>
      <c r="K717" t="s">
        <v>80</v>
      </c>
      <c r="L717" t="s">
        <v>2241</v>
      </c>
      <c r="M717" t="s">
        <v>45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116</v>
      </c>
      <c r="U717" t="s">
        <v>82</v>
      </c>
      <c r="V717" t="str">
        <f t="shared" si="109"/>
        <v>Valid</v>
      </c>
      <c r="W717">
        <f t="shared" si="110"/>
        <v>5</v>
      </c>
      <c r="Y717" t="str">
        <f t="shared" si="111"/>
        <v>OK</v>
      </c>
      <c r="Z717" t="str">
        <f t="shared" si="112"/>
        <v>OK</v>
      </c>
      <c r="AA717" t="str">
        <f t="shared" si="113"/>
        <v>OK</v>
      </c>
      <c r="AB717" t="str">
        <f t="shared" si="114"/>
        <v>Valid</v>
      </c>
      <c r="AC717" t="str">
        <f>IF(OR(AB717="Invalid Discount",V717="Invalid Shipping"),
"Invalid",
IF(OR(Y717="Missing Region",
Z717="Missing Ship Mode",
AA717="Missing Discount",
X717="Flagged for Review"),
"Warning",
"Clean"))</f>
        <v>Clean</v>
      </c>
      <c r="AD717">
        <f t="shared" si="115"/>
        <v>0</v>
      </c>
      <c r="AE717">
        <f>N717*O717*(1-AD717)</f>
        <v>19901.63</v>
      </c>
      <c r="AF717">
        <f>AE717-R717</f>
        <v>4409.6000000000004</v>
      </c>
      <c r="AG717" s="3">
        <f t="shared" si="116"/>
        <v>0.22156979101711771</v>
      </c>
      <c r="AH717" t="str">
        <f t="shared" si="117"/>
        <v>August</v>
      </c>
      <c r="AI717">
        <f t="shared" si="118"/>
        <v>2025</v>
      </c>
    </row>
    <row r="718" spans="1:35">
      <c r="A718" t="s">
        <v>2242</v>
      </c>
      <c r="B718" s="2">
        <v>45895</v>
      </c>
      <c r="C718" s="2">
        <v>45900</v>
      </c>
      <c r="D718" t="s">
        <v>2243</v>
      </c>
      <c r="E718" t="s">
        <v>176</v>
      </c>
      <c r="F718" t="s">
        <v>51</v>
      </c>
      <c r="G718" t="s">
        <v>39</v>
      </c>
      <c r="H718" t="s">
        <v>251</v>
      </c>
      <c r="I718" t="s">
        <v>252</v>
      </c>
      <c r="J718" t="s">
        <v>88</v>
      </c>
      <c r="K718" t="s">
        <v>185</v>
      </c>
      <c r="L718" t="s">
        <v>2244</v>
      </c>
      <c r="M718" t="s">
        <v>64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46</v>
      </c>
      <c r="U718" t="s">
        <v>47</v>
      </c>
      <c r="V718" t="str">
        <f t="shared" si="109"/>
        <v>Valid</v>
      </c>
      <c r="W718">
        <f t="shared" si="110"/>
        <v>5</v>
      </c>
      <c r="Y718" t="str">
        <f t="shared" si="111"/>
        <v>OK</v>
      </c>
      <c r="Z718" t="str">
        <f t="shared" si="112"/>
        <v>OK</v>
      </c>
      <c r="AA718" t="str">
        <f t="shared" si="113"/>
        <v>OK</v>
      </c>
      <c r="AB718" t="str">
        <f t="shared" si="114"/>
        <v>Valid</v>
      </c>
      <c r="AC718" t="str">
        <f>IF(OR(AB718="Invalid Discount",V718="Invalid Shipping"),
"Invalid",
IF(OR(Y718="Missing Region",
Z718="Missing Ship Mode",
AA718="Missing Discount",
X718="Flagged for Review"),
"Warning",
"Clean"))</f>
        <v>Clean</v>
      </c>
      <c r="AD718">
        <f t="shared" si="115"/>
        <v>0.15</v>
      </c>
      <c r="AE718">
        <f>N718*O718*(1-AD718)</f>
        <v>2879.817</v>
      </c>
      <c r="AF718">
        <f>AE718-R718</f>
        <v>1054.9369999999999</v>
      </c>
      <c r="AG718" s="3">
        <f t="shared" si="116"/>
        <v>0.3663208460815392</v>
      </c>
      <c r="AH718" t="str">
        <f t="shared" si="117"/>
        <v>August</v>
      </c>
      <c r="AI718">
        <f t="shared" si="118"/>
        <v>2025</v>
      </c>
    </row>
    <row r="719" spans="1:35">
      <c r="A719" t="s">
        <v>2245</v>
      </c>
      <c r="B719" s="2">
        <v>45942</v>
      </c>
      <c r="C719" s="2">
        <v>45945</v>
      </c>
      <c r="D719" t="s">
        <v>2246</v>
      </c>
      <c r="E719" t="s">
        <v>279</v>
      </c>
      <c r="F719" t="s">
        <v>51</v>
      </c>
      <c r="G719" t="s">
        <v>39</v>
      </c>
      <c r="H719" t="s">
        <v>251</v>
      </c>
      <c r="I719" t="s">
        <v>252</v>
      </c>
      <c r="J719" t="s">
        <v>88</v>
      </c>
      <c r="K719" t="s">
        <v>289</v>
      </c>
      <c r="L719" t="s">
        <v>2247</v>
      </c>
      <c r="M719" t="s">
        <v>73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125</v>
      </c>
      <c r="U719" t="s">
        <v>82</v>
      </c>
      <c r="V719" t="str">
        <f t="shared" si="109"/>
        <v>Valid</v>
      </c>
      <c r="W719">
        <f t="shared" si="110"/>
        <v>3</v>
      </c>
      <c r="Y719" t="str">
        <f t="shared" si="111"/>
        <v>OK</v>
      </c>
      <c r="Z719" t="str">
        <f t="shared" si="112"/>
        <v>OK</v>
      </c>
      <c r="AA719" t="str">
        <f t="shared" si="113"/>
        <v>OK</v>
      </c>
      <c r="AB719" t="str">
        <f t="shared" si="114"/>
        <v>Valid</v>
      </c>
      <c r="AC719" t="str">
        <f>IF(OR(AB719="Invalid Discount",V719="Invalid Shipping"),
"Invalid",
IF(OR(Y719="Missing Region",
Z719="Missing Ship Mode",
AA719="Missing Discount",
X719="Flagged for Review"),
"Warning",
"Clean"))</f>
        <v>Clean</v>
      </c>
      <c r="AD719">
        <f t="shared" si="115"/>
        <v>0.2</v>
      </c>
      <c r="AE719">
        <f>N719*O719*(1-AD719)</f>
        <v>18712.223999999998</v>
      </c>
      <c r="AF719">
        <f>AE719-R719</f>
        <v>6860.003999999999</v>
      </c>
      <c r="AG719" s="3">
        <f t="shared" si="116"/>
        <v>0.3666054874075898</v>
      </c>
      <c r="AH719" t="str">
        <f t="shared" si="117"/>
        <v>October</v>
      </c>
      <c r="AI719">
        <f t="shared" si="118"/>
        <v>2025</v>
      </c>
    </row>
    <row r="720" spans="1:35">
      <c r="A720" t="s">
        <v>2248</v>
      </c>
      <c r="B720" s="2">
        <v>45541</v>
      </c>
      <c r="C720" s="2">
        <v>45544</v>
      </c>
      <c r="D720" t="s">
        <v>2249</v>
      </c>
      <c r="E720" t="s">
        <v>50</v>
      </c>
      <c r="F720" t="s">
        <v>38</v>
      </c>
      <c r="G720" t="s">
        <v>77</v>
      </c>
      <c r="H720" t="s">
        <v>78</v>
      </c>
      <c r="I720" t="s">
        <v>79</v>
      </c>
      <c r="J720" t="s">
        <v>42</v>
      </c>
      <c r="K720" t="s">
        <v>62</v>
      </c>
      <c r="L720" t="s">
        <v>2250</v>
      </c>
      <c r="M720" t="s">
        <v>58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46</v>
      </c>
      <c r="U720" t="s">
        <v>47</v>
      </c>
      <c r="V720" t="str">
        <f t="shared" si="109"/>
        <v>Valid</v>
      </c>
      <c r="W720">
        <f t="shared" si="110"/>
        <v>3</v>
      </c>
      <c r="Y720" t="str">
        <f t="shared" si="111"/>
        <v>OK</v>
      </c>
      <c r="Z720" t="str">
        <f t="shared" si="112"/>
        <v>OK</v>
      </c>
      <c r="AA720" t="str">
        <f t="shared" si="113"/>
        <v>OK</v>
      </c>
      <c r="AB720" t="str">
        <f t="shared" si="114"/>
        <v>Valid</v>
      </c>
      <c r="AC720" t="str">
        <f>IF(OR(AB720="Invalid Discount",V720="Invalid Shipping"),
"Invalid",
IF(OR(Y720="Missing Region",
Z720="Missing Ship Mode",
AA720="Missing Discount",
X720="Flagged for Review"),
"Warning",
"Clean"))</f>
        <v>Clean</v>
      </c>
      <c r="AD720">
        <f t="shared" si="115"/>
        <v>0.2</v>
      </c>
      <c r="AE720">
        <f>N720*O720*(1-AD720)</f>
        <v>4733.4479999999994</v>
      </c>
      <c r="AF720">
        <f>AE720-R720</f>
        <v>1061.1279999999992</v>
      </c>
      <c r="AG720" s="3">
        <f t="shared" si="116"/>
        <v>0.22417654107534282</v>
      </c>
      <c r="AH720" t="str">
        <f t="shared" si="117"/>
        <v>September</v>
      </c>
      <c r="AI720">
        <f t="shared" si="118"/>
        <v>2024</v>
      </c>
    </row>
    <row r="721" spans="1:35">
      <c r="A721" t="s">
        <v>2251</v>
      </c>
      <c r="B721" s="2">
        <v>45908</v>
      </c>
      <c r="C721" s="2">
        <v>45909</v>
      </c>
      <c r="D721" t="s">
        <v>158</v>
      </c>
      <c r="E721" t="s">
        <v>279</v>
      </c>
      <c r="F721" t="s">
        <v>104</v>
      </c>
      <c r="G721" t="s">
        <v>77</v>
      </c>
      <c r="H721" t="s">
        <v>194</v>
      </c>
      <c r="I721" t="s">
        <v>195</v>
      </c>
      <c r="J721" t="s">
        <v>42</v>
      </c>
      <c r="K721" t="s">
        <v>62</v>
      </c>
      <c r="L721" t="s">
        <v>2252</v>
      </c>
      <c r="M721" t="s">
        <v>58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46</v>
      </c>
      <c r="U721" t="s">
        <v>47</v>
      </c>
      <c r="V721" t="str">
        <f t="shared" si="109"/>
        <v>Valid</v>
      </c>
      <c r="W721">
        <f t="shared" si="110"/>
        <v>1</v>
      </c>
      <c r="Y721" t="str">
        <f t="shared" si="111"/>
        <v>OK</v>
      </c>
      <c r="Z721" t="str">
        <f t="shared" si="112"/>
        <v>OK</v>
      </c>
      <c r="AA721" t="str">
        <f t="shared" si="113"/>
        <v>OK</v>
      </c>
      <c r="AB721" t="str">
        <f t="shared" si="114"/>
        <v>Valid</v>
      </c>
      <c r="AC721" t="str">
        <f>IF(OR(AB721="Invalid Discount",V721="Invalid Shipping"),
"Invalid",
IF(OR(Y721="Missing Region",
Z721="Missing Ship Mode",
AA721="Missing Discount",
X721="Flagged for Review"),
"Warning",
"Clean"))</f>
        <v>Clean</v>
      </c>
      <c r="AD721">
        <f t="shared" si="115"/>
        <v>0.2</v>
      </c>
      <c r="AE721">
        <f>N721*O721*(1-AD721)</f>
        <v>3795.8559999999998</v>
      </c>
      <c r="AF721">
        <f>AE721-R721</f>
        <v>1530.9359999999997</v>
      </c>
      <c r="AG721" s="3">
        <f t="shared" si="116"/>
        <v>0.40331772332775528</v>
      </c>
      <c r="AH721" t="str">
        <f t="shared" si="117"/>
        <v>September</v>
      </c>
      <c r="AI721">
        <f t="shared" si="118"/>
        <v>2025</v>
      </c>
    </row>
    <row r="722" spans="1:35">
      <c r="A722" t="s">
        <v>2253</v>
      </c>
      <c r="B722" s="2">
        <v>45489</v>
      </c>
      <c r="C722" s="2">
        <v>45489</v>
      </c>
      <c r="D722" t="s">
        <v>2254</v>
      </c>
      <c r="E722" t="s">
        <v>103</v>
      </c>
      <c r="F722" t="s">
        <v>109</v>
      </c>
      <c r="G722" t="s">
        <v>77</v>
      </c>
      <c r="H722" t="s">
        <v>86</v>
      </c>
      <c r="I722" t="s">
        <v>87</v>
      </c>
      <c r="J722" t="s">
        <v>88</v>
      </c>
      <c r="K722" t="s">
        <v>94</v>
      </c>
      <c r="L722" t="s">
        <v>2255</v>
      </c>
      <c r="M722" t="s">
        <v>58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46</v>
      </c>
      <c r="U722" t="s">
        <v>47</v>
      </c>
      <c r="V722" t="str">
        <f t="shared" si="109"/>
        <v>Valid</v>
      </c>
      <c r="W722">
        <f t="shared" si="110"/>
        <v>0</v>
      </c>
      <c r="Y722" t="str">
        <f t="shared" si="111"/>
        <v>OK</v>
      </c>
      <c r="Z722" t="str">
        <f t="shared" si="112"/>
        <v>OK</v>
      </c>
      <c r="AA722" t="str">
        <f t="shared" si="113"/>
        <v>OK</v>
      </c>
      <c r="AB722" t="str">
        <f t="shared" si="114"/>
        <v>Valid</v>
      </c>
      <c r="AC722" t="str">
        <f>IF(OR(AB722="Invalid Discount",V722="Invalid Shipping"),
"Invalid",
IF(OR(Y722="Missing Region",
Z722="Missing Ship Mode",
AA722="Missing Discount",
X722="Flagged for Review"),
"Warning",
"Clean"))</f>
        <v>Clean</v>
      </c>
      <c r="AD722">
        <f t="shared" si="115"/>
        <v>0.15</v>
      </c>
      <c r="AE722">
        <f>N722*O722*(1-AD722)</f>
        <v>15231.727999999999</v>
      </c>
      <c r="AF722">
        <f>AE722-R722</f>
        <v>2780.268</v>
      </c>
      <c r="AG722" s="3">
        <f t="shared" si="116"/>
        <v>0.1825313582280356</v>
      </c>
      <c r="AH722" t="str">
        <f t="shared" si="117"/>
        <v>July</v>
      </c>
      <c r="AI722">
        <f t="shared" si="118"/>
        <v>2024</v>
      </c>
    </row>
    <row r="723" spans="1:35">
      <c r="A723" t="s">
        <v>2256</v>
      </c>
      <c r="B723" s="2">
        <v>45827</v>
      </c>
      <c r="C723" s="2">
        <v>45831</v>
      </c>
      <c r="D723" t="s">
        <v>2257</v>
      </c>
      <c r="E723" t="s">
        <v>146</v>
      </c>
      <c r="F723" t="s">
        <v>38</v>
      </c>
      <c r="G723" t="s">
        <v>68</v>
      </c>
      <c r="H723" t="s">
        <v>189</v>
      </c>
      <c r="I723" t="s">
        <v>190</v>
      </c>
      <c r="J723" t="s">
        <v>88</v>
      </c>
      <c r="K723" t="s">
        <v>94</v>
      </c>
      <c r="L723" t="s">
        <v>2258</v>
      </c>
      <c r="M723" t="s">
        <v>64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46</v>
      </c>
      <c r="U723" t="s">
        <v>47</v>
      </c>
      <c r="V723" t="str">
        <f t="shared" si="109"/>
        <v>Valid</v>
      </c>
      <c r="W723">
        <f t="shared" si="110"/>
        <v>4</v>
      </c>
      <c r="Y723" t="str">
        <f t="shared" si="111"/>
        <v>OK</v>
      </c>
      <c r="Z723" t="str">
        <f t="shared" si="112"/>
        <v>OK</v>
      </c>
      <c r="AA723" t="str">
        <f t="shared" si="113"/>
        <v>OK</v>
      </c>
      <c r="AB723" t="str">
        <f t="shared" si="114"/>
        <v>Valid</v>
      </c>
      <c r="AC723" t="str">
        <f>IF(OR(AB723="Invalid Discount",V723="Invalid Shipping"),
"Invalid",
IF(OR(Y723="Missing Region",
Z723="Missing Ship Mode",
AA723="Missing Discount",
X723="Flagged for Review"),
"Warning",
"Clean"))</f>
        <v>Clean</v>
      </c>
      <c r="AD723">
        <f t="shared" si="115"/>
        <v>0</v>
      </c>
      <c r="AE723">
        <f>N723*O723*(1-AD723)</f>
        <v>13649.75</v>
      </c>
      <c r="AF723">
        <f>AE723-R723</f>
        <v>3361.7199999999993</v>
      </c>
      <c r="AG723" s="3">
        <f t="shared" si="116"/>
        <v>0.24628436418249414</v>
      </c>
      <c r="AH723" t="str">
        <f t="shared" si="117"/>
        <v>June</v>
      </c>
      <c r="AI723">
        <f t="shared" si="118"/>
        <v>2025</v>
      </c>
    </row>
    <row r="724" spans="1:35">
      <c r="A724" t="s">
        <v>2259</v>
      </c>
      <c r="B724" s="2">
        <v>45572</v>
      </c>
      <c r="C724" s="2">
        <v>45575</v>
      </c>
      <c r="D724" t="s">
        <v>2260</v>
      </c>
      <c r="E724" t="s">
        <v>85</v>
      </c>
      <c r="F724" t="s">
        <v>38</v>
      </c>
      <c r="G724" t="s">
        <v>52</v>
      </c>
      <c r="H724" t="s">
        <v>113</v>
      </c>
      <c r="I724" t="s">
        <v>114</v>
      </c>
      <c r="J724" t="s">
        <v>55</v>
      </c>
      <c r="K724" t="s">
        <v>80</v>
      </c>
      <c r="L724" t="s">
        <v>2261</v>
      </c>
      <c r="M724" t="s">
        <v>45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116</v>
      </c>
      <c r="U724" t="s">
        <v>82</v>
      </c>
      <c r="V724" t="str">
        <f t="shared" si="109"/>
        <v>Valid</v>
      </c>
      <c r="W724">
        <f t="shared" si="110"/>
        <v>3</v>
      </c>
      <c r="Y724" t="str">
        <f t="shared" si="111"/>
        <v>OK</v>
      </c>
      <c r="Z724" t="str">
        <f t="shared" si="112"/>
        <v>OK</v>
      </c>
      <c r="AA724" t="str">
        <f t="shared" si="113"/>
        <v>Missing Discount</v>
      </c>
      <c r="AB724" t="str">
        <f t="shared" si="114"/>
        <v>Valid</v>
      </c>
      <c r="AC724" t="str">
        <f>IF(OR(AB724="Invalid Discount",V724="Invalid Shipping"),
"Invalid",
IF(OR(Y724="Missing Region",
Z724="Missing Ship Mode",
AA724="Missing Discount",
X724="Flagged for Review"),
"Warning",
"Clean"))</f>
        <v>Warning</v>
      </c>
      <c r="AD724">
        <f t="shared" si="115"/>
        <v>0</v>
      </c>
      <c r="AE724">
        <f>N724*O724*(1-AD724)</f>
        <v>4333.59</v>
      </c>
      <c r="AF724">
        <f>AE724-R724</f>
        <v>1800</v>
      </c>
      <c r="AG724" s="3">
        <f t="shared" si="116"/>
        <v>0.41536001329152039</v>
      </c>
      <c r="AH724" t="str">
        <f t="shared" si="117"/>
        <v>October</v>
      </c>
      <c r="AI724">
        <f t="shared" si="118"/>
        <v>2024</v>
      </c>
    </row>
    <row r="725" spans="1:35">
      <c r="A725" t="s">
        <v>2262</v>
      </c>
      <c r="B725" s="2">
        <v>45936</v>
      </c>
      <c r="C725" s="2">
        <v>45943</v>
      </c>
      <c r="D725" t="s">
        <v>2263</v>
      </c>
      <c r="E725" t="s">
        <v>279</v>
      </c>
      <c r="F725" t="s">
        <v>109</v>
      </c>
      <c r="G725" t="s">
        <v>52</v>
      </c>
      <c r="H725" t="s">
        <v>243</v>
      </c>
      <c r="I725" t="s">
        <v>244</v>
      </c>
      <c r="J725" t="s">
        <v>88</v>
      </c>
      <c r="K725" t="s">
        <v>89</v>
      </c>
      <c r="L725" t="s">
        <v>2264</v>
      </c>
      <c r="M725" t="s">
        <v>73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169</v>
      </c>
      <c r="U725" t="s">
        <v>117</v>
      </c>
      <c r="V725" t="str">
        <f t="shared" si="109"/>
        <v>Valid</v>
      </c>
      <c r="W725">
        <f t="shared" si="110"/>
        <v>7</v>
      </c>
      <c r="Y725" t="str">
        <f t="shared" si="111"/>
        <v>OK</v>
      </c>
      <c r="Z725" t="str">
        <f t="shared" si="112"/>
        <v>OK</v>
      </c>
      <c r="AA725" t="str">
        <f t="shared" si="113"/>
        <v>OK</v>
      </c>
      <c r="AB725" t="str">
        <f t="shared" si="114"/>
        <v>Valid</v>
      </c>
      <c r="AC725" t="str">
        <f>IF(OR(AB725="Invalid Discount",V725="Invalid Shipping"),
"Invalid",
IF(OR(Y725="Missing Region",
Z725="Missing Ship Mode",
AA725="Missing Discount",
X725="Flagged for Review"),
"Warning",
"Clean"))</f>
        <v>Clean</v>
      </c>
      <c r="AD725">
        <f t="shared" si="115"/>
        <v>0.05</v>
      </c>
      <c r="AE725">
        <f>N725*O725*(1-AD725)</f>
        <v>13634.000999999998</v>
      </c>
      <c r="AF725">
        <f>AE725-R725</f>
        <v>4044.1909999999989</v>
      </c>
      <c r="AG725" s="3">
        <f t="shared" si="116"/>
        <v>0.29662539998346776</v>
      </c>
      <c r="AH725" t="str">
        <f t="shared" si="117"/>
        <v>October</v>
      </c>
      <c r="AI725">
        <f t="shared" si="118"/>
        <v>2025</v>
      </c>
    </row>
    <row r="726" spans="1:35">
      <c r="A726" t="s">
        <v>2265</v>
      </c>
      <c r="B726" s="2">
        <v>45332</v>
      </c>
      <c r="C726" s="2">
        <v>45338</v>
      </c>
      <c r="D726" t="s">
        <v>2266</v>
      </c>
      <c r="E726" t="s">
        <v>37</v>
      </c>
      <c r="F726" t="s">
        <v>38</v>
      </c>
      <c r="G726" t="s">
        <v>77</v>
      </c>
      <c r="H726" t="s">
        <v>204</v>
      </c>
      <c r="I726" t="s">
        <v>205</v>
      </c>
      <c r="J726" t="s">
        <v>55</v>
      </c>
      <c r="K726" t="s">
        <v>71</v>
      </c>
      <c r="L726" t="s">
        <v>2267</v>
      </c>
      <c r="M726" t="s">
        <v>45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46</v>
      </c>
      <c r="U726" t="s">
        <v>47</v>
      </c>
      <c r="V726" t="str">
        <f t="shared" si="109"/>
        <v>Valid</v>
      </c>
      <c r="W726">
        <f t="shared" si="110"/>
        <v>6</v>
      </c>
      <c r="Y726" t="str">
        <f t="shared" si="111"/>
        <v>OK</v>
      </c>
      <c r="Z726" t="str">
        <f t="shared" si="112"/>
        <v>OK</v>
      </c>
      <c r="AA726" t="str">
        <f t="shared" si="113"/>
        <v>OK</v>
      </c>
      <c r="AB726" t="str">
        <f t="shared" si="114"/>
        <v>Valid</v>
      </c>
      <c r="AC726" t="str">
        <f>IF(OR(AB726="Invalid Discount",V726="Invalid Shipping"),
"Invalid",
IF(OR(Y726="Missing Region",
Z726="Missing Ship Mode",
AA726="Missing Discount",
X726="Flagged for Review"),
"Warning",
"Clean"))</f>
        <v>Clean</v>
      </c>
      <c r="AD726">
        <f t="shared" si="115"/>
        <v>0</v>
      </c>
      <c r="AE726">
        <f>N726*O726*(1-AD726)</f>
        <v>760.29</v>
      </c>
      <c r="AF726">
        <f>AE726-R726</f>
        <v>262.52</v>
      </c>
      <c r="AG726" s="3">
        <f t="shared" si="116"/>
        <v>0.34528929750489945</v>
      </c>
      <c r="AH726" t="str">
        <f t="shared" si="117"/>
        <v>February</v>
      </c>
      <c r="AI726">
        <f t="shared" si="118"/>
        <v>2024</v>
      </c>
    </row>
    <row r="727" spans="1:35">
      <c r="A727" t="s">
        <v>2268</v>
      </c>
      <c r="B727" s="2">
        <v>45935</v>
      </c>
      <c r="C727" s="2">
        <v>45942</v>
      </c>
      <c r="D727" t="s">
        <v>2269</v>
      </c>
      <c r="E727" t="s">
        <v>128</v>
      </c>
      <c r="F727" t="s">
        <v>104</v>
      </c>
      <c r="G727" t="s">
        <v>68</v>
      </c>
      <c r="H727" t="s">
        <v>189</v>
      </c>
      <c r="I727" t="s">
        <v>190</v>
      </c>
      <c r="J727" t="s">
        <v>55</v>
      </c>
      <c r="K727" t="s">
        <v>56</v>
      </c>
      <c r="L727" t="s">
        <v>2270</v>
      </c>
      <c r="M727" t="s">
        <v>45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46</v>
      </c>
      <c r="U727" t="s">
        <v>47</v>
      </c>
      <c r="V727" t="str">
        <f t="shared" si="109"/>
        <v>Valid</v>
      </c>
      <c r="W727">
        <f t="shared" si="110"/>
        <v>7</v>
      </c>
      <c r="Y727" t="str">
        <f t="shared" si="111"/>
        <v>OK</v>
      </c>
      <c r="Z727" t="str">
        <f t="shared" si="112"/>
        <v>OK</v>
      </c>
      <c r="AA727" t="str">
        <f t="shared" si="113"/>
        <v>OK</v>
      </c>
      <c r="AB727" t="str">
        <f t="shared" si="114"/>
        <v>Valid</v>
      </c>
      <c r="AC727" t="str">
        <f>IF(OR(AB727="Invalid Discount",V727="Invalid Shipping"),
"Invalid",
IF(OR(Y727="Missing Region",
Z727="Missing Ship Mode",
AA727="Missing Discount",
X727="Flagged for Review"),
"Warning",
"Clean"))</f>
        <v>Clean</v>
      </c>
      <c r="AD727">
        <f t="shared" si="115"/>
        <v>0</v>
      </c>
      <c r="AE727">
        <f>N727*O727*(1-AD727)</f>
        <v>14943.11</v>
      </c>
      <c r="AF727">
        <f>AE727-R727</f>
        <v>6421.6100000000006</v>
      </c>
      <c r="AG727" s="3">
        <f t="shared" si="116"/>
        <v>0.42973718322357263</v>
      </c>
      <c r="AH727" t="str">
        <f t="shared" si="117"/>
        <v>October</v>
      </c>
      <c r="AI727">
        <f t="shared" si="118"/>
        <v>2025</v>
      </c>
    </row>
    <row r="728" spans="1:35">
      <c r="A728" t="s">
        <v>2271</v>
      </c>
      <c r="B728" s="2">
        <v>45308</v>
      </c>
      <c r="C728" s="2">
        <v>45314</v>
      </c>
      <c r="D728" t="s">
        <v>2272</v>
      </c>
      <c r="E728" t="s">
        <v>279</v>
      </c>
      <c r="F728" t="s">
        <v>109</v>
      </c>
      <c r="G728" t="s">
        <v>77</v>
      </c>
      <c r="H728" t="s">
        <v>194</v>
      </c>
      <c r="I728" t="s">
        <v>195</v>
      </c>
      <c r="J728" t="s">
        <v>88</v>
      </c>
      <c r="K728" t="s">
        <v>185</v>
      </c>
      <c r="L728" t="s">
        <v>2273</v>
      </c>
      <c r="M728" t="s">
        <v>73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125</v>
      </c>
      <c r="U728" t="s">
        <v>117</v>
      </c>
      <c r="V728" t="str">
        <f t="shared" si="109"/>
        <v>Valid</v>
      </c>
      <c r="W728">
        <f t="shared" si="110"/>
        <v>6</v>
      </c>
      <c r="Y728" t="str">
        <f t="shared" si="111"/>
        <v>OK</v>
      </c>
      <c r="Z728" t="str">
        <f t="shared" si="112"/>
        <v>OK</v>
      </c>
      <c r="AA728" t="str">
        <f t="shared" si="113"/>
        <v>OK</v>
      </c>
      <c r="AB728" t="str">
        <f t="shared" si="114"/>
        <v>Valid</v>
      </c>
      <c r="AC728" t="str">
        <f>IF(OR(AB728="Invalid Discount",V728="Invalid Shipping"),
"Invalid",
IF(OR(Y728="Missing Region",
Z728="Missing Ship Mode",
AA728="Missing Discount",
X728="Flagged for Review"),
"Warning",
"Clean"))</f>
        <v>Clean</v>
      </c>
      <c r="AD728">
        <f t="shared" si="115"/>
        <v>0.2</v>
      </c>
      <c r="AE728">
        <f>N728*O728*(1-AD728)</f>
        <v>8072</v>
      </c>
      <c r="AF728">
        <f>AE728-R728</f>
        <v>2692.7799999999997</v>
      </c>
      <c r="AG728" s="3">
        <f t="shared" si="116"/>
        <v>0.33359514370664023</v>
      </c>
      <c r="AH728" t="str">
        <f t="shared" si="117"/>
        <v>January</v>
      </c>
      <c r="AI728">
        <f t="shared" si="118"/>
        <v>2024</v>
      </c>
    </row>
    <row r="729" spans="1:35">
      <c r="A729" t="s">
        <v>2274</v>
      </c>
      <c r="B729" s="2">
        <v>45578</v>
      </c>
      <c r="C729" s="2">
        <v>45578</v>
      </c>
      <c r="D729" t="s">
        <v>2275</v>
      </c>
      <c r="E729" t="s">
        <v>142</v>
      </c>
      <c r="F729" t="s">
        <v>51</v>
      </c>
      <c r="G729" t="s">
        <v>52</v>
      </c>
      <c r="H729" t="s">
        <v>180</v>
      </c>
      <c r="I729" t="s">
        <v>181</v>
      </c>
      <c r="J729" t="s">
        <v>88</v>
      </c>
      <c r="K729" t="s">
        <v>89</v>
      </c>
      <c r="L729" t="s">
        <v>2276</v>
      </c>
      <c r="M729" t="s">
        <v>45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46</v>
      </c>
      <c r="U729" t="s">
        <v>47</v>
      </c>
      <c r="V729" t="str">
        <f t="shared" si="109"/>
        <v>Valid</v>
      </c>
      <c r="W729">
        <f t="shared" si="110"/>
        <v>0</v>
      </c>
      <c r="Y729" t="str">
        <f t="shared" si="111"/>
        <v>OK</v>
      </c>
      <c r="Z729" t="str">
        <f t="shared" si="112"/>
        <v>OK</v>
      </c>
      <c r="AA729" t="str">
        <f t="shared" si="113"/>
        <v>OK</v>
      </c>
      <c r="AB729" t="str">
        <f t="shared" si="114"/>
        <v>Valid</v>
      </c>
      <c r="AC729" t="str">
        <f>IF(OR(AB729="Invalid Discount",V729="Invalid Shipping"),
"Invalid",
IF(OR(Y729="Missing Region",
Z729="Missing Ship Mode",
AA729="Missing Discount",
X729="Flagged for Review"),
"Warning",
"Clean"))</f>
        <v>Clean</v>
      </c>
      <c r="AD729">
        <f t="shared" si="115"/>
        <v>0.05</v>
      </c>
      <c r="AE729">
        <f>N729*O729*(1-AD729)</f>
        <v>28353.015999999996</v>
      </c>
      <c r="AF729">
        <f>AE729-R729</f>
        <v>9095.1659999999974</v>
      </c>
      <c r="AG729" s="3">
        <f t="shared" si="116"/>
        <v>0.3207830165228277</v>
      </c>
      <c r="AH729" t="str">
        <f t="shared" si="117"/>
        <v>October</v>
      </c>
      <c r="AI729">
        <f t="shared" si="118"/>
        <v>2024</v>
      </c>
    </row>
    <row r="730" spans="1:35">
      <c r="A730" t="s">
        <v>2277</v>
      </c>
      <c r="B730" s="2">
        <v>45295</v>
      </c>
      <c r="C730" s="2">
        <v>45298</v>
      </c>
      <c r="D730" t="s">
        <v>2278</v>
      </c>
      <c r="E730" t="s">
        <v>146</v>
      </c>
      <c r="F730" t="s">
        <v>51</v>
      </c>
      <c r="G730" t="s">
        <v>68</v>
      </c>
      <c r="H730" t="s">
        <v>189</v>
      </c>
      <c r="I730" t="s">
        <v>190</v>
      </c>
      <c r="J730" t="s">
        <v>88</v>
      </c>
      <c r="K730" t="s">
        <v>289</v>
      </c>
      <c r="L730" t="s">
        <v>2279</v>
      </c>
      <c r="M730" t="s">
        <v>64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46</v>
      </c>
      <c r="U730" t="s">
        <v>47</v>
      </c>
      <c r="V730" t="str">
        <f t="shared" si="109"/>
        <v>Valid</v>
      </c>
      <c r="W730">
        <f t="shared" si="110"/>
        <v>3</v>
      </c>
      <c r="Y730" t="str">
        <f t="shared" si="111"/>
        <v>OK</v>
      </c>
      <c r="Z730" t="str">
        <f t="shared" si="112"/>
        <v>OK</v>
      </c>
      <c r="AA730" t="str">
        <f t="shared" si="113"/>
        <v>OK</v>
      </c>
      <c r="AB730" t="str">
        <f t="shared" si="114"/>
        <v>Valid</v>
      </c>
      <c r="AC730" t="str">
        <f>IF(OR(AB730="Invalid Discount",V730="Invalid Shipping"),
"Invalid",
IF(OR(Y730="Missing Region",
Z730="Missing Ship Mode",
AA730="Missing Discount",
X730="Flagged for Review"),
"Warning",
"Clean"))</f>
        <v>Clean</v>
      </c>
      <c r="AD730">
        <f t="shared" si="115"/>
        <v>0.15</v>
      </c>
      <c r="AE730">
        <f>N730*O730*(1-AD730)</f>
        <v>2008.567</v>
      </c>
      <c r="AF730">
        <f>AE730-R730</f>
        <v>813.73700000000008</v>
      </c>
      <c r="AG730" s="3">
        <f t="shared" si="116"/>
        <v>0.40513311231340554</v>
      </c>
      <c r="AH730" t="str">
        <f t="shared" si="117"/>
        <v>January</v>
      </c>
      <c r="AI730">
        <f t="shared" si="118"/>
        <v>2024</v>
      </c>
    </row>
    <row r="731" spans="1:35">
      <c r="A731" t="s">
        <v>2280</v>
      </c>
      <c r="B731" s="2">
        <v>45794</v>
      </c>
      <c r="C731" s="2">
        <v>45802</v>
      </c>
      <c r="D731" t="s">
        <v>2281</v>
      </c>
      <c r="E731" t="s">
        <v>76</v>
      </c>
      <c r="F731" t="s">
        <v>104</v>
      </c>
      <c r="G731" t="s">
        <v>68</v>
      </c>
      <c r="H731" t="s">
        <v>262</v>
      </c>
      <c r="I731" t="s">
        <v>263</v>
      </c>
      <c r="J731" t="s">
        <v>88</v>
      </c>
      <c r="K731" t="s">
        <v>289</v>
      </c>
      <c r="L731" t="s">
        <v>2282</v>
      </c>
      <c r="M731" t="s">
        <v>58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46</v>
      </c>
      <c r="U731" t="s">
        <v>47</v>
      </c>
      <c r="V731" t="str">
        <f t="shared" si="109"/>
        <v>Valid</v>
      </c>
      <c r="W731">
        <f t="shared" si="110"/>
        <v>8</v>
      </c>
      <c r="Y731" t="str">
        <f t="shared" si="111"/>
        <v>OK</v>
      </c>
      <c r="Z731" t="str">
        <f t="shared" si="112"/>
        <v>OK</v>
      </c>
      <c r="AA731" t="str">
        <f t="shared" si="113"/>
        <v>OK</v>
      </c>
      <c r="AB731" t="str">
        <f t="shared" si="114"/>
        <v>Valid</v>
      </c>
      <c r="AC731" t="str">
        <f>IF(OR(AB731="Invalid Discount",V731="Invalid Shipping"),
"Invalid",
IF(OR(Y731="Missing Region",
Z731="Missing Ship Mode",
AA731="Missing Discount",
X731="Flagged for Review"),
"Warning",
"Clean"))</f>
        <v>Clean</v>
      </c>
      <c r="AD731">
        <f t="shared" si="115"/>
        <v>0.15</v>
      </c>
      <c r="AE731">
        <f>N731*O731*(1-AD731)</f>
        <v>9234.2129999999997</v>
      </c>
      <c r="AF731">
        <f>AE731-R731</f>
        <v>3717.6929999999993</v>
      </c>
      <c r="AG731" s="3">
        <f t="shared" si="116"/>
        <v>0.40259987505161504</v>
      </c>
      <c r="AH731" t="str">
        <f t="shared" si="117"/>
        <v>May</v>
      </c>
      <c r="AI731">
        <f t="shared" si="118"/>
        <v>2025</v>
      </c>
    </row>
    <row r="732" spans="1:35">
      <c r="A732" t="s">
        <v>2283</v>
      </c>
      <c r="B732" s="2">
        <v>45827</v>
      </c>
      <c r="C732" s="2">
        <v>45832</v>
      </c>
      <c r="D732" t="s">
        <v>2284</v>
      </c>
      <c r="E732" t="s">
        <v>67</v>
      </c>
      <c r="F732" t="s">
        <v>38</v>
      </c>
      <c r="G732" t="s">
        <v>52</v>
      </c>
      <c r="H732" t="s">
        <v>113</v>
      </c>
      <c r="I732" t="s">
        <v>114</v>
      </c>
      <c r="J732" t="s">
        <v>42</v>
      </c>
      <c r="K732" t="s">
        <v>62</v>
      </c>
      <c r="L732" t="s">
        <v>2285</v>
      </c>
      <c r="M732" t="s">
        <v>45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116</v>
      </c>
      <c r="U732" t="s">
        <v>117</v>
      </c>
      <c r="V732" t="str">
        <f t="shared" si="109"/>
        <v>Valid</v>
      </c>
      <c r="W732">
        <f t="shared" si="110"/>
        <v>5</v>
      </c>
      <c r="Y732" t="str">
        <f t="shared" si="111"/>
        <v>OK</v>
      </c>
      <c r="Z732" t="str">
        <f t="shared" si="112"/>
        <v>OK</v>
      </c>
      <c r="AA732" t="str">
        <f t="shared" si="113"/>
        <v>OK</v>
      </c>
      <c r="AB732" t="str">
        <f t="shared" si="114"/>
        <v>Valid</v>
      </c>
      <c r="AC732" t="str">
        <f>IF(OR(AB732="Invalid Discount",V732="Invalid Shipping"),
"Invalid",
IF(OR(Y732="Missing Region",
Z732="Missing Ship Mode",
AA732="Missing Discount",
X732="Flagged for Review"),
"Warning",
"Clean"))</f>
        <v>Clean</v>
      </c>
      <c r="AD732">
        <f t="shared" si="115"/>
        <v>0.15</v>
      </c>
      <c r="AE732">
        <f>N732*O732*(1-AD732)</f>
        <v>2658.8339999999998</v>
      </c>
      <c r="AF732">
        <f>AE732-R732</f>
        <v>431.86400000000003</v>
      </c>
      <c r="AG732" s="3">
        <f t="shared" si="116"/>
        <v>0.16242608602116568</v>
      </c>
      <c r="AH732" t="str">
        <f t="shared" si="117"/>
        <v>June</v>
      </c>
      <c r="AI732">
        <f t="shared" si="118"/>
        <v>2025</v>
      </c>
    </row>
    <row r="733" spans="1:35">
      <c r="A733" t="s">
        <v>2286</v>
      </c>
      <c r="B733" s="2">
        <v>45368</v>
      </c>
      <c r="C733" s="2">
        <v>45370</v>
      </c>
      <c r="D733" t="s">
        <v>2287</v>
      </c>
      <c r="E733" t="s">
        <v>76</v>
      </c>
      <c r="F733" t="s">
        <v>104</v>
      </c>
      <c r="G733" t="s">
        <v>52</v>
      </c>
      <c r="H733" t="s">
        <v>53</v>
      </c>
      <c r="I733" t="s">
        <v>54</v>
      </c>
      <c r="J733" t="s">
        <v>42</v>
      </c>
      <c r="K733" t="s">
        <v>167</v>
      </c>
      <c r="L733" t="s">
        <v>2288</v>
      </c>
      <c r="M733" t="s">
        <v>64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46</v>
      </c>
      <c r="U733" t="s">
        <v>47</v>
      </c>
      <c r="V733" t="str">
        <f t="shared" si="109"/>
        <v>Valid</v>
      </c>
      <c r="W733">
        <f t="shared" si="110"/>
        <v>2</v>
      </c>
      <c r="Y733" t="str">
        <f t="shared" si="111"/>
        <v>OK</v>
      </c>
      <c r="Z733" t="str">
        <f t="shared" si="112"/>
        <v>OK</v>
      </c>
      <c r="AA733" t="str">
        <f t="shared" si="113"/>
        <v>OK</v>
      </c>
      <c r="AB733" t="str">
        <f t="shared" si="114"/>
        <v>Valid</v>
      </c>
      <c r="AC733" t="str">
        <f>IF(OR(AB733="Invalid Discount",V733="Invalid Shipping"),
"Invalid",
IF(OR(Y733="Missing Region",
Z733="Missing Ship Mode",
AA733="Missing Discount",
X733="Flagged for Review"),
"Warning",
"Clean"))</f>
        <v>Clean</v>
      </c>
      <c r="AD733">
        <f t="shared" si="115"/>
        <v>0.1</v>
      </c>
      <c r="AE733">
        <f>N733*O733*(1-AD733)</f>
        <v>15756.048000000001</v>
      </c>
      <c r="AF733">
        <f>AE733-R733</f>
        <v>5510.6080000000002</v>
      </c>
      <c r="AG733" s="3">
        <f t="shared" si="116"/>
        <v>0.3497455707167178</v>
      </c>
      <c r="AH733" t="str">
        <f t="shared" si="117"/>
        <v>March</v>
      </c>
      <c r="AI733">
        <f t="shared" si="118"/>
        <v>2024</v>
      </c>
    </row>
    <row r="734" spans="1:35">
      <c r="A734" t="s">
        <v>2289</v>
      </c>
      <c r="B734" s="2">
        <v>45624</v>
      </c>
      <c r="C734" s="2">
        <v>45632</v>
      </c>
      <c r="D734" t="s">
        <v>2290</v>
      </c>
      <c r="E734" t="s">
        <v>67</v>
      </c>
      <c r="F734" t="s">
        <v>51</v>
      </c>
      <c r="G734" t="s">
        <v>39</v>
      </c>
      <c r="H734" t="s">
        <v>136</v>
      </c>
      <c r="I734" t="s">
        <v>137</v>
      </c>
      <c r="J734" t="s">
        <v>88</v>
      </c>
      <c r="K734" t="s">
        <v>185</v>
      </c>
      <c r="L734" t="s">
        <v>2291</v>
      </c>
      <c r="M734" t="s">
        <v>73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46</v>
      </c>
      <c r="U734" t="s">
        <v>47</v>
      </c>
      <c r="V734" t="str">
        <f t="shared" si="109"/>
        <v>Valid</v>
      </c>
      <c r="W734">
        <f t="shared" si="110"/>
        <v>8</v>
      </c>
      <c r="Y734" t="str">
        <f t="shared" si="111"/>
        <v>OK</v>
      </c>
      <c r="Z734" t="str">
        <f t="shared" si="112"/>
        <v>OK</v>
      </c>
      <c r="AA734" t="str">
        <f t="shared" si="113"/>
        <v>OK</v>
      </c>
      <c r="AB734" t="str">
        <f t="shared" si="114"/>
        <v>Valid</v>
      </c>
      <c r="AC734" t="str">
        <f>IF(OR(AB734="Invalid Discount",V734="Invalid Shipping"),
"Invalid",
IF(OR(Y734="Missing Region",
Z734="Missing Ship Mode",
AA734="Missing Discount",
X734="Flagged for Review"),
"Warning",
"Clean"))</f>
        <v>Clean</v>
      </c>
      <c r="AD734">
        <f t="shared" si="115"/>
        <v>0</v>
      </c>
      <c r="AE734">
        <f>N734*O734*(1-AD734)</f>
        <v>14787.78</v>
      </c>
      <c r="AF734">
        <f>AE734-R734</f>
        <v>6191.130000000001</v>
      </c>
      <c r="AG734" s="3">
        <f t="shared" si="116"/>
        <v>0.41866527632950995</v>
      </c>
      <c r="AH734" t="str">
        <f t="shared" si="117"/>
        <v>November</v>
      </c>
      <c r="AI734">
        <f t="shared" si="118"/>
        <v>2024</v>
      </c>
    </row>
    <row r="735" spans="1:35">
      <c r="A735" t="s">
        <v>2292</v>
      </c>
      <c r="B735" s="2">
        <v>45464</v>
      </c>
      <c r="C735" s="2">
        <v>45471</v>
      </c>
      <c r="D735" t="s">
        <v>2293</v>
      </c>
      <c r="E735" t="s">
        <v>142</v>
      </c>
      <c r="F735" t="s">
        <v>109</v>
      </c>
      <c r="G735" t="s">
        <v>39</v>
      </c>
      <c r="H735" t="s">
        <v>40</v>
      </c>
      <c r="I735" t="s">
        <v>41</v>
      </c>
      <c r="J735" t="s">
        <v>55</v>
      </c>
      <c r="K735" t="s">
        <v>71</v>
      </c>
      <c r="L735" t="s">
        <v>2294</v>
      </c>
      <c r="M735" t="s">
        <v>64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46</v>
      </c>
      <c r="U735" t="s">
        <v>47</v>
      </c>
      <c r="V735" t="str">
        <f t="shared" si="109"/>
        <v>Valid</v>
      </c>
      <c r="W735">
        <f t="shared" si="110"/>
        <v>7</v>
      </c>
      <c r="Y735" t="str">
        <f t="shared" si="111"/>
        <v>OK</v>
      </c>
      <c r="Z735" t="str">
        <f t="shared" si="112"/>
        <v>OK</v>
      </c>
      <c r="AA735" t="str">
        <f t="shared" si="113"/>
        <v>OK</v>
      </c>
      <c r="AB735" t="str">
        <f t="shared" si="114"/>
        <v>Valid</v>
      </c>
      <c r="AC735" t="str">
        <f>IF(OR(AB735="Invalid Discount",V735="Invalid Shipping"),
"Invalid",
IF(OR(Y735="Missing Region",
Z735="Missing Ship Mode",
AA735="Missing Discount",
X735="Flagged for Review"),
"Warning",
"Clean"))</f>
        <v>Clean</v>
      </c>
      <c r="AD735">
        <f t="shared" si="115"/>
        <v>0</v>
      </c>
      <c r="AE735">
        <f>N735*O735*(1-AD735)</f>
        <v>25181.64</v>
      </c>
      <c r="AF735">
        <f>AE735-R735</f>
        <v>9843.74</v>
      </c>
      <c r="AG735" s="3">
        <f t="shared" si="116"/>
        <v>0.39090940860086953</v>
      </c>
      <c r="AH735" t="str">
        <f t="shared" si="117"/>
        <v>June</v>
      </c>
      <c r="AI735">
        <f t="shared" si="118"/>
        <v>2024</v>
      </c>
    </row>
    <row r="736" spans="1:35">
      <c r="A736" t="s">
        <v>2295</v>
      </c>
      <c r="B736" s="2">
        <v>45528</v>
      </c>
      <c r="C736" s="2">
        <v>45528</v>
      </c>
      <c r="D736" t="s">
        <v>2296</v>
      </c>
      <c r="E736" t="s">
        <v>76</v>
      </c>
      <c r="F736" t="s">
        <v>51</v>
      </c>
      <c r="G736" t="s">
        <v>39</v>
      </c>
      <c r="H736" t="s">
        <v>40</v>
      </c>
      <c r="I736" t="s">
        <v>41</v>
      </c>
      <c r="J736" t="s">
        <v>88</v>
      </c>
      <c r="K736" t="s">
        <v>89</v>
      </c>
      <c r="L736" t="s">
        <v>2297</v>
      </c>
      <c r="M736" t="s">
        <v>64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46</v>
      </c>
      <c r="U736" t="s">
        <v>47</v>
      </c>
      <c r="V736" t="str">
        <f t="shared" si="109"/>
        <v>Valid</v>
      </c>
      <c r="W736">
        <f t="shared" si="110"/>
        <v>0</v>
      </c>
      <c r="Y736" t="str">
        <f t="shared" si="111"/>
        <v>OK</v>
      </c>
      <c r="Z736" t="str">
        <f t="shared" si="112"/>
        <v>OK</v>
      </c>
      <c r="AA736" t="str">
        <f t="shared" si="113"/>
        <v>OK</v>
      </c>
      <c r="AB736" t="str">
        <f t="shared" si="114"/>
        <v>Valid</v>
      </c>
      <c r="AC736" t="str">
        <f>IF(OR(AB736="Invalid Discount",V736="Invalid Shipping"),
"Invalid",
IF(OR(Y736="Missing Region",
Z736="Missing Ship Mode",
AA736="Missing Discount",
X736="Flagged for Review"),
"Warning",
"Clean"))</f>
        <v>Clean</v>
      </c>
      <c r="AD736">
        <f t="shared" si="115"/>
        <v>0.2</v>
      </c>
      <c r="AE736">
        <f>N736*O736*(1-AD736)</f>
        <v>8837.9520000000011</v>
      </c>
      <c r="AF736">
        <f>AE736-R736</f>
        <v>2680.6820000000007</v>
      </c>
      <c r="AG736" s="3">
        <f t="shared" si="116"/>
        <v>0.30331484036120587</v>
      </c>
      <c r="AH736" t="str">
        <f t="shared" si="117"/>
        <v>August</v>
      </c>
      <c r="AI736">
        <f t="shared" si="118"/>
        <v>2024</v>
      </c>
    </row>
    <row r="737" spans="1:35">
      <c r="A737" t="s">
        <v>2298</v>
      </c>
      <c r="B737" s="2">
        <v>45515</v>
      </c>
      <c r="C737" s="2">
        <v>45523</v>
      </c>
      <c r="D737" t="s">
        <v>2299</v>
      </c>
      <c r="E737" t="s">
        <v>50</v>
      </c>
      <c r="F737" t="s">
        <v>38</v>
      </c>
      <c r="G737" t="s">
        <v>77</v>
      </c>
      <c r="H737" t="s">
        <v>78</v>
      </c>
      <c r="I737" t="s">
        <v>79</v>
      </c>
      <c r="J737" t="s">
        <v>55</v>
      </c>
      <c r="K737" t="s">
        <v>56</v>
      </c>
      <c r="L737" t="s">
        <v>2300</v>
      </c>
      <c r="M737" t="s">
        <v>73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46</v>
      </c>
      <c r="U737" t="s">
        <v>47</v>
      </c>
      <c r="V737" t="str">
        <f t="shared" si="109"/>
        <v>Valid</v>
      </c>
      <c r="W737">
        <f t="shared" si="110"/>
        <v>8</v>
      </c>
      <c r="Y737" t="str">
        <f t="shared" si="111"/>
        <v>OK</v>
      </c>
      <c r="Z737" t="str">
        <f t="shared" si="112"/>
        <v>OK</v>
      </c>
      <c r="AA737" t="str">
        <f t="shared" si="113"/>
        <v>OK</v>
      </c>
      <c r="AB737" t="str">
        <f t="shared" si="114"/>
        <v>Valid</v>
      </c>
      <c r="AC737" t="str">
        <f>IF(OR(AB737="Invalid Discount",V737="Invalid Shipping"),
"Invalid",
IF(OR(Y737="Missing Region",
Z737="Missing Ship Mode",
AA737="Missing Discount",
X737="Flagged for Review"),
"Warning",
"Clean"))</f>
        <v>Clean</v>
      </c>
      <c r="AD737">
        <f t="shared" si="115"/>
        <v>0.2</v>
      </c>
      <c r="AE737">
        <f>N737*O737*(1-AD737)</f>
        <v>7275.7920000000004</v>
      </c>
      <c r="AF737">
        <f>AE737-R737</f>
        <v>1122.9220000000005</v>
      </c>
      <c r="AG737" s="3">
        <f t="shared" si="116"/>
        <v>0.15433673749881804</v>
      </c>
      <c r="AH737" t="str">
        <f t="shared" si="117"/>
        <v>August</v>
      </c>
      <c r="AI737">
        <f t="shared" si="118"/>
        <v>2024</v>
      </c>
    </row>
    <row r="738" spans="1:35">
      <c r="A738" t="s">
        <v>2301</v>
      </c>
      <c r="B738" s="2">
        <v>45632</v>
      </c>
      <c r="C738" s="2">
        <v>45635</v>
      </c>
      <c r="D738" t="s">
        <v>2302</v>
      </c>
      <c r="E738" t="s">
        <v>103</v>
      </c>
      <c r="F738" t="s">
        <v>38</v>
      </c>
      <c r="G738" t="s">
        <v>77</v>
      </c>
      <c r="H738" t="s">
        <v>78</v>
      </c>
      <c r="I738" t="s">
        <v>79</v>
      </c>
      <c r="J738" t="s">
        <v>55</v>
      </c>
      <c r="K738" t="s">
        <v>80</v>
      </c>
      <c r="L738" t="s">
        <v>2303</v>
      </c>
      <c r="M738" t="s">
        <v>45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46</v>
      </c>
      <c r="U738" t="s">
        <v>47</v>
      </c>
      <c r="V738" t="str">
        <f t="shared" si="109"/>
        <v>Valid</v>
      </c>
      <c r="W738">
        <f t="shared" si="110"/>
        <v>3</v>
      </c>
      <c r="Y738" t="str">
        <f t="shared" si="111"/>
        <v>OK</v>
      </c>
      <c r="Z738" t="str">
        <f t="shared" si="112"/>
        <v>OK</v>
      </c>
      <c r="AA738" t="str">
        <f t="shared" si="113"/>
        <v>OK</v>
      </c>
      <c r="AB738" t="str">
        <f t="shared" si="114"/>
        <v>Valid</v>
      </c>
      <c r="AC738" t="str">
        <f>IF(OR(AB738="Invalid Discount",V738="Invalid Shipping"),
"Invalid",
IF(OR(Y738="Missing Region",
Z738="Missing Ship Mode",
AA738="Missing Discount",
X738="Flagged for Review"),
"Warning",
"Clean"))</f>
        <v>Clean</v>
      </c>
      <c r="AD738">
        <f t="shared" si="115"/>
        <v>0.1</v>
      </c>
      <c r="AE738">
        <f>N738*O738*(1-AD738)</f>
        <v>2355.0750000000003</v>
      </c>
      <c r="AF738">
        <f>AE738-R738</f>
        <v>1005.0450000000003</v>
      </c>
      <c r="AG738" s="3">
        <f t="shared" si="116"/>
        <v>0.42675710964618968</v>
      </c>
      <c r="AH738" t="str">
        <f t="shared" si="117"/>
        <v>December</v>
      </c>
      <c r="AI738">
        <f t="shared" si="118"/>
        <v>2024</v>
      </c>
    </row>
    <row r="739" spans="1:35">
      <c r="A739" t="s">
        <v>2304</v>
      </c>
      <c r="B739" s="2">
        <v>45332</v>
      </c>
      <c r="C739" s="2">
        <v>45332</v>
      </c>
      <c r="D739" t="s">
        <v>2305</v>
      </c>
      <c r="E739" t="s">
        <v>61</v>
      </c>
      <c r="F739" t="s">
        <v>109</v>
      </c>
      <c r="G739" t="s">
        <v>77</v>
      </c>
      <c r="H739" t="s">
        <v>78</v>
      </c>
      <c r="I739" t="s">
        <v>79</v>
      </c>
      <c r="J739" t="s">
        <v>55</v>
      </c>
      <c r="K739" t="s">
        <v>80</v>
      </c>
      <c r="L739" t="s">
        <v>2306</v>
      </c>
      <c r="M739" t="s">
        <v>58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46</v>
      </c>
      <c r="U739" t="s">
        <v>47</v>
      </c>
      <c r="V739" t="str">
        <f t="shared" si="109"/>
        <v>Valid</v>
      </c>
      <c r="W739">
        <f t="shared" si="110"/>
        <v>0</v>
      </c>
      <c r="Y739" t="str">
        <f t="shared" si="111"/>
        <v>OK</v>
      </c>
      <c r="Z739" t="str">
        <f t="shared" si="112"/>
        <v>OK</v>
      </c>
      <c r="AA739" t="str">
        <f t="shared" si="113"/>
        <v>OK</v>
      </c>
      <c r="AB739" t="str">
        <f t="shared" si="114"/>
        <v>Valid</v>
      </c>
      <c r="AC739" t="str">
        <f>IF(OR(AB739="Invalid Discount",V739="Invalid Shipping"),
"Invalid",
IF(OR(Y739="Missing Region",
Z739="Missing Ship Mode",
AA739="Missing Discount",
X739="Flagged for Review"),
"Warning",
"Clean"))</f>
        <v>Clean</v>
      </c>
      <c r="AD739">
        <f t="shared" si="115"/>
        <v>0</v>
      </c>
      <c r="AE739">
        <f>N739*O739*(1-AD739)</f>
        <v>3609.12</v>
      </c>
      <c r="AF739">
        <f>AE739-R739</f>
        <v>963.61999999999989</v>
      </c>
      <c r="AG739" s="3">
        <f t="shared" si="116"/>
        <v>0.2669958327791816</v>
      </c>
      <c r="AH739" t="str">
        <f t="shared" si="117"/>
        <v>February</v>
      </c>
      <c r="AI739">
        <f t="shared" si="118"/>
        <v>2024</v>
      </c>
    </row>
    <row r="740" spans="1:35">
      <c r="A740" t="s">
        <v>2307</v>
      </c>
      <c r="B740" s="2">
        <v>45708</v>
      </c>
      <c r="C740" s="2">
        <v>45710</v>
      </c>
      <c r="D740" t="s">
        <v>2308</v>
      </c>
      <c r="E740" t="s">
        <v>128</v>
      </c>
      <c r="F740" t="s">
        <v>104</v>
      </c>
      <c r="G740" t="s">
        <v>68</v>
      </c>
      <c r="H740" t="s">
        <v>199</v>
      </c>
      <c r="I740" t="s">
        <v>200</v>
      </c>
      <c r="J740" t="s">
        <v>42</v>
      </c>
      <c r="K740" t="s">
        <v>43</v>
      </c>
      <c r="L740" t="s">
        <v>2309</v>
      </c>
      <c r="M740" t="s">
        <v>64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46</v>
      </c>
      <c r="U740" t="s">
        <v>47</v>
      </c>
      <c r="V740" t="str">
        <f t="shared" si="109"/>
        <v>Valid</v>
      </c>
      <c r="W740">
        <f t="shared" si="110"/>
        <v>2</v>
      </c>
      <c r="Y740" t="str">
        <f t="shared" si="111"/>
        <v>OK</v>
      </c>
      <c r="Z740" t="str">
        <f t="shared" si="112"/>
        <v>OK</v>
      </c>
      <c r="AA740" t="str">
        <f t="shared" si="113"/>
        <v>OK</v>
      </c>
      <c r="AB740" t="str">
        <f t="shared" si="114"/>
        <v>Valid</v>
      </c>
      <c r="AC740" t="str">
        <f>IF(OR(AB740="Invalid Discount",V740="Invalid Shipping"),
"Invalid",
IF(OR(Y740="Missing Region",
Z740="Missing Ship Mode",
AA740="Missing Discount",
X740="Flagged for Review"),
"Warning",
"Clean"))</f>
        <v>Clean</v>
      </c>
      <c r="AD740">
        <f t="shared" si="115"/>
        <v>0</v>
      </c>
      <c r="AE740">
        <f>N740*O740*(1-AD740)</f>
        <v>2188.19</v>
      </c>
      <c r="AF740">
        <f>AE740-R740</f>
        <v>889.35000000000014</v>
      </c>
      <c r="AG740" s="3">
        <f t="shared" si="116"/>
        <v>0.40643179979800664</v>
      </c>
      <c r="AH740" t="str">
        <f t="shared" si="117"/>
        <v>February</v>
      </c>
      <c r="AI740">
        <f t="shared" si="118"/>
        <v>2025</v>
      </c>
    </row>
    <row r="741" spans="1:35">
      <c r="A741" t="s">
        <v>2310</v>
      </c>
      <c r="B741" s="2">
        <v>45629</v>
      </c>
      <c r="C741" s="2">
        <v>45636</v>
      </c>
      <c r="D741" t="s">
        <v>2311</v>
      </c>
      <c r="E741" t="s">
        <v>93</v>
      </c>
      <c r="F741" t="s">
        <v>104</v>
      </c>
      <c r="G741" t="s">
        <v>39</v>
      </c>
      <c r="H741" t="s">
        <v>40</v>
      </c>
      <c r="I741" t="s">
        <v>41</v>
      </c>
      <c r="J741" t="s">
        <v>88</v>
      </c>
      <c r="K741" t="s">
        <v>185</v>
      </c>
      <c r="L741" t="s">
        <v>2312</v>
      </c>
      <c r="M741" t="s">
        <v>73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46</v>
      </c>
      <c r="U741" t="s">
        <v>47</v>
      </c>
      <c r="V741" t="str">
        <f t="shared" si="109"/>
        <v>Valid</v>
      </c>
      <c r="W741">
        <f t="shared" si="110"/>
        <v>7</v>
      </c>
      <c r="Y741" t="str">
        <f t="shared" si="111"/>
        <v>OK</v>
      </c>
      <c r="Z741" t="str">
        <f t="shared" si="112"/>
        <v>OK</v>
      </c>
      <c r="AA741" t="str">
        <f t="shared" si="113"/>
        <v>OK</v>
      </c>
      <c r="AB741" t="str">
        <f t="shared" si="114"/>
        <v>Valid</v>
      </c>
      <c r="AC741" t="str">
        <f>IF(OR(AB741="Invalid Discount",V741="Invalid Shipping"),
"Invalid",
IF(OR(Y741="Missing Region",
Z741="Missing Ship Mode",
AA741="Missing Discount",
X741="Flagged for Review"),
"Warning",
"Clean"))</f>
        <v>Clean</v>
      </c>
      <c r="AD741">
        <f t="shared" si="115"/>
        <v>0.05</v>
      </c>
      <c r="AE741">
        <f>N741*O741*(1-AD741)</f>
        <v>11370.835000000001</v>
      </c>
      <c r="AF741">
        <f>AE741-R741</f>
        <v>3901.255000000001</v>
      </c>
      <c r="AG741" s="3">
        <f t="shared" si="116"/>
        <v>0.34309309738466881</v>
      </c>
      <c r="AH741" t="str">
        <f t="shared" si="117"/>
        <v>December</v>
      </c>
      <c r="AI741">
        <f t="shared" si="118"/>
        <v>2024</v>
      </c>
    </row>
    <row r="742" spans="1:35">
      <c r="A742" t="s">
        <v>2313</v>
      </c>
      <c r="B742" s="2">
        <v>45384</v>
      </c>
      <c r="C742" s="2">
        <v>45384</v>
      </c>
      <c r="D742" t="s">
        <v>537</v>
      </c>
      <c r="E742" t="s">
        <v>146</v>
      </c>
      <c r="F742" t="s">
        <v>51</v>
      </c>
      <c r="G742" t="s">
        <v>77</v>
      </c>
      <c r="H742" t="s">
        <v>78</v>
      </c>
      <c r="I742" t="s">
        <v>79</v>
      </c>
      <c r="J742" t="s">
        <v>55</v>
      </c>
      <c r="K742" t="s">
        <v>80</v>
      </c>
      <c r="L742" t="s">
        <v>2314</v>
      </c>
      <c r="M742" t="s">
        <v>64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46</v>
      </c>
      <c r="U742" t="s">
        <v>47</v>
      </c>
      <c r="V742" t="str">
        <f t="shared" si="109"/>
        <v>Valid</v>
      </c>
      <c r="W742">
        <f t="shared" si="110"/>
        <v>0</v>
      </c>
      <c r="Y742" t="str">
        <f t="shared" si="111"/>
        <v>OK</v>
      </c>
      <c r="Z742" t="str">
        <f t="shared" si="112"/>
        <v>OK</v>
      </c>
      <c r="AA742" t="str">
        <f t="shared" si="113"/>
        <v>OK</v>
      </c>
      <c r="AB742" t="str">
        <f t="shared" si="114"/>
        <v>Valid</v>
      </c>
      <c r="AC742" t="str">
        <f>IF(OR(AB742="Invalid Discount",V742="Invalid Shipping"),
"Invalid",
IF(OR(Y742="Missing Region",
Z742="Missing Ship Mode",
AA742="Missing Discount",
X742="Flagged for Review"),
"Warning",
"Clean"))</f>
        <v>Clean</v>
      </c>
      <c r="AD742">
        <f t="shared" si="115"/>
        <v>0.1</v>
      </c>
      <c r="AE742">
        <f>N742*O742*(1-AD742)</f>
        <v>9298.8000000000011</v>
      </c>
      <c r="AF742">
        <f>AE742-R742</f>
        <v>2750.3000000000011</v>
      </c>
      <c r="AG742" s="3">
        <f t="shared" si="116"/>
        <v>0.29576934658235482</v>
      </c>
      <c r="AH742" t="str">
        <f t="shared" si="117"/>
        <v>April</v>
      </c>
      <c r="AI742">
        <f t="shared" si="118"/>
        <v>2024</v>
      </c>
    </row>
    <row r="743" spans="1:35">
      <c r="A743" t="s">
        <v>2315</v>
      </c>
      <c r="B743" s="2">
        <v>45770</v>
      </c>
      <c r="C743" s="2">
        <v>45772</v>
      </c>
      <c r="D743" t="s">
        <v>2316</v>
      </c>
      <c r="E743" t="s">
        <v>61</v>
      </c>
      <c r="F743" t="s">
        <v>109</v>
      </c>
      <c r="G743" t="s">
        <v>68</v>
      </c>
      <c r="H743" t="s">
        <v>262</v>
      </c>
      <c r="I743" t="s">
        <v>263</v>
      </c>
      <c r="J743" t="s">
        <v>55</v>
      </c>
      <c r="K743" t="s">
        <v>80</v>
      </c>
      <c r="L743" t="s">
        <v>2317</v>
      </c>
      <c r="M743" t="s">
        <v>45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46</v>
      </c>
      <c r="U743" t="s">
        <v>82</v>
      </c>
      <c r="V743" t="str">
        <f t="shared" si="109"/>
        <v>Valid</v>
      </c>
      <c r="W743">
        <f t="shared" si="110"/>
        <v>2</v>
      </c>
      <c r="Y743" t="str">
        <f t="shared" si="111"/>
        <v>OK</v>
      </c>
      <c r="Z743" t="str">
        <f t="shared" si="112"/>
        <v>OK</v>
      </c>
      <c r="AA743" t="str">
        <f t="shared" si="113"/>
        <v>Missing Discount</v>
      </c>
      <c r="AB743" t="str">
        <f t="shared" si="114"/>
        <v>Valid</v>
      </c>
      <c r="AC743" t="str">
        <f>IF(OR(AB743="Invalid Discount",V743="Invalid Shipping"),
"Invalid",
IF(OR(Y743="Missing Region",
Z743="Missing Ship Mode",
AA743="Missing Discount",
X743="Flagged for Review"),
"Warning",
"Clean"))</f>
        <v>Warning</v>
      </c>
      <c r="AD743">
        <f t="shared" si="115"/>
        <v>0</v>
      </c>
      <c r="AE743">
        <f>N743*O743*(1-AD743)</f>
        <v>8853.36</v>
      </c>
      <c r="AF743">
        <f>AE743-R743</f>
        <v>3257.0200000000004</v>
      </c>
      <c r="AG743" s="3">
        <f t="shared" si="116"/>
        <v>0.36788518709280998</v>
      </c>
      <c r="AH743" t="str">
        <f t="shared" si="117"/>
        <v>April</v>
      </c>
      <c r="AI743">
        <f t="shared" si="118"/>
        <v>2025</v>
      </c>
    </row>
    <row r="744" spans="1:35">
      <c r="A744" t="s">
        <v>2318</v>
      </c>
      <c r="B744" s="2">
        <v>45580</v>
      </c>
      <c r="C744" s="2">
        <v>45587</v>
      </c>
      <c r="D744" t="s">
        <v>2319</v>
      </c>
      <c r="E744" t="s">
        <v>37</v>
      </c>
      <c r="F744" t="s">
        <v>104</v>
      </c>
      <c r="G744" t="s">
        <v>52</v>
      </c>
      <c r="H744" t="s">
        <v>53</v>
      </c>
      <c r="I744" t="s">
        <v>54</v>
      </c>
      <c r="J744" t="s">
        <v>42</v>
      </c>
      <c r="K744" t="s">
        <v>43</v>
      </c>
      <c r="L744" t="s">
        <v>2320</v>
      </c>
      <c r="M744" t="s">
        <v>73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46</v>
      </c>
      <c r="U744" t="s">
        <v>47</v>
      </c>
      <c r="V744" t="str">
        <f t="shared" si="109"/>
        <v>Valid</v>
      </c>
      <c r="W744">
        <f t="shared" si="110"/>
        <v>7</v>
      </c>
      <c r="Y744" t="str">
        <f t="shared" si="111"/>
        <v>OK</v>
      </c>
      <c r="Z744" t="str">
        <f t="shared" si="112"/>
        <v>OK</v>
      </c>
      <c r="AA744" t="str">
        <f t="shared" si="113"/>
        <v>OK</v>
      </c>
      <c r="AB744" t="str">
        <f t="shared" si="114"/>
        <v>Valid</v>
      </c>
      <c r="AC744" t="str">
        <f>IF(OR(AB744="Invalid Discount",V744="Invalid Shipping"),
"Invalid",
IF(OR(Y744="Missing Region",
Z744="Missing Ship Mode",
AA744="Missing Discount",
X744="Flagged for Review"),
"Warning",
"Clean"))</f>
        <v>Clean</v>
      </c>
      <c r="AD744">
        <f t="shared" si="115"/>
        <v>0</v>
      </c>
      <c r="AE744">
        <f>N744*O744*(1-AD744)</f>
        <v>9043.7999999999993</v>
      </c>
      <c r="AF744">
        <f>AE744-R744</f>
        <v>3130.4199999999992</v>
      </c>
      <c r="AG744" s="3">
        <f t="shared" si="116"/>
        <v>0.34613989694597397</v>
      </c>
      <c r="AH744" t="str">
        <f t="shared" si="117"/>
        <v>October</v>
      </c>
      <c r="AI744">
        <f t="shared" si="118"/>
        <v>2024</v>
      </c>
    </row>
    <row r="745" spans="1:35">
      <c r="A745" t="s">
        <v>2321</v>
      </c>
      <c r="B745" s="2">
        <v>45700</v>
      </c>
      <c r="C745" s="2">
        <v>45702</v>
      </c>
      <c r="D745" t="s">
        <v>2322</v>
      </c>
      <c r="E745" t="s">
        <v>146</v>
      </c>
      <c r="F745" t="s">
        <v>38</v>
      </c>
      <c r="G745" t="s">
        <v>39</v>
      </c>
      <c r="H745" t="s">
        <v>150</v>
      </c>
      <c r="I745" t="s">
        <v>151</v>
      </c>
      <c r="J745" t="s">
        <v>42</v>
      </c>
      <c r="K745" t="s">
        <v>62</v>
      </c>
      <c r="L745" t="s">
        <v>2323</v>
      </c>
      <c r="M745" t="s">
        <v>73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46</v>
      </c>
      <c r="U745" t="s">
        <v>47</v>
      </c>
      <c r="V745" t="str">
        <f t="shared" si="109"/>
        <v>Valid</v>
      </c>
      <c r="W745">
        <f t="shared" si="110"/>
        <v>2</v>
      </c>
      <c r="Y745" t="str">
        <f t="shared" si="111"/>
        <v>OK</v>
      </c>
      <c r="Z745" t="str">
        <f t="shared" si="112"/>
        <v>OK</v>
      </c>
      <c r="AA745" t="str">
        <f t="shared" si="113"/>
        <v>OK</v>
      </c>
      <c r="AB745" t="str">
        <f t="shared" si="114"/>
        <v>Valid</v>
      </c>
      <c r="AC745" t="str">
        <f>IF(OR(AB745="Invalid Discount",V745="Invalid Shipping"),
"Invalid",
IF(OR(Y745="Missing Region",
Z745="Missing Ship Mode",
AA745="Missing Discount",
X745="Flagged for Review"),
"Warning",
"Clean"))</f>
        <v>Clean</v>
      </c>
      <c r="AD745">
        <f t="shared" si="115"/>
        <v>0.25</v>
      </c>
      <c r="AE745">
        <f>N745*O745*(1-AD745)</f>
        <v>2211.2999999999997</v>
      </c>
      <c r="AF745">
        <f>AE745-R745</f>
        <v>475.65999999999963</v>
      </c>
      <c r="AG745" s="3">
        <f t="shared" si="116"/>
        <v>0.21510423732645942</v>
      </c>
      <c r="AH745" t="str">
        <f t="shared" si="117"/>
        <v>February</v>
      </c>
      <c r="AI745">
        <f t="shared" si="118"/>
        <v>2025</v>
      </c>
    </row>
    <row r="746" spans="1:35">
      <c r="A746" t="s">
        <v>2324</v>
      </c>
      <c r="B746" s="2">
        <v>45886</v>
      </c>
      <c r="C746" s="2">
        <v>45889</v>
      </c>
      <c r="D746" t="s">
        <v>2325</v>
      </c>
      <c r="E746" t="s">
        <v>50</v>
      </c>
      <c r="F746" t="s">
        <v>109</v>
      </c>
      <c r="G746" t="s">
        <v>39</v>
      </c>
      <c r="H746" t="s">
        <v>136</v>
      </c>
      <c r="I746" t="s">
        <v>137</v>
      </c>
      <c r="J746" t="s">
        <v>42</v>
      </c>
      <c r="K746" t="s">
        <v>167</v>
      </c>
      <c r="L746" t="s">
        <v>2326</v>
      </c>
      <c r="M746" t="s">
        <v>64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46</v>
      </c>
      <c r="U746" t="s">
        <v>82</v>
      </c>
      <c r="V746" t="str">
        <f t="shared" si="109"/>
        <v>Valid</v>
      </c>
      <c r="W746">
        <f t="shared" si="110"/>
        <v>3</v>
      </c>
      <c r="Y746" t="str">
        <f t="shared" si="111"/>
        <v>OK</v>
      </c>
      <c r="Z746" t="str">
        <f t="shared" si="112"/>
        <v>OK</v>
      </c>
      <c r="AA746" t="str">
        <f t="shared" si="113"/>
        <v>OK</v>
      </c>
      <c r="AB746" t="str">
        <f t="shared" si="114"/>
        <v>Valid</v>
      </c>
      <c r="AC746" t="str">
        <f>IF(OR(AB746="Invalid Discount",V746="Invalid Shipping"),
"Invalid",
IF(OR(Y746="Missing Region",
Z746="Missing Ship Mode",
AA746="Missing Discount",
X746="Flagged for Review"),
"Warning",
"Clean"))</f>
        <v>Clean</v>
      </c>
      <c r="AD746">
        <f t="shared" si="115"/>
        <v>0.1</v>
      </c>
      <c r="AE746">
        <f>N746*O746*(1-AD746)</f>
        <v>12158.504999999999</v>
      </c>
      <c r="AF746">
        <f>AE746-R746</f>
        <v>1898.4349999999995</v>
      </c>
      <c r="AG746" s="3">
        <f t="shared" si="116"/>
        <v>0.15614049589155901</v>
      </c>
      <c r="AH746" t="str">
        <f t="shared" si="117"/>
        <v>August</v>
      </c>
      <c r="AI746">
        <f t="shared" si="118"/>
        <v>2025</v>
      </c>
    </row>
    <row r="747" spans="1:35">
      <c r="A747" t="s">
        <v>2327</v>
      </c>
      <c r="B747" s="2">
        <v>45589</v>
      </c>
      <c r="C747" s="2">
        <v>45593</v>
      </c>
      <c r="D747" t="s">
        <v>2328</v>
      </c>
      <c r="E747" t="s">
        <v>50</v>
      </c>
      <c r="F747" t="s">
        <v>51</v>
      </c>
      <c r="G747" t="s">
        <v>52</v>
      </c>
      <c r="H747" t="s">
        <v>180</v>
      </c>
      <c r="I747" t="s">
        <v>181</v>
      </c>
      <c r="J747" t="s">
        <v>88</v>
      </c>
      <c r="K747" t="s">
        <v>94</v>
      </c>
      <c r="L747" t="s">
        <v>2329</v>
      </c>
      <c r="M747" t="s">
        <v>73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46</v>
      </c>
      <c r="U747" t="s">
        <v>47</v>
      </c>
      <c r="V747" t="str">
        <f t="shared" si="109"/>
        <v>Valid</v>
      </c>
      <c r="W747">
        <f t="shared" si="110"/>
        <v>4</v>
      </c>
      <c r="Y747" t="str">
        <f t="shared" si="111"/>
        <v>OK</v>
      </c>
      <c r="Z747" t="str">
        <f t="shared" si="112"/>
        <v>OK</v>
      </c>
      <c r="AA747" t="str">
        <f t="shared" si="113"/>
        <v>OK</v>
      </c>
      <c r="AB747" t="str">
        <f t="shared" si="114"/>
        <v>Valid</v>
      </c>
      <c r="AC747" t="str">
        <f>IF(OR(AB747="Invalid Discount",V747="Invalid Shipping"),
"Invalid",
IF(OR(Y747="Missing Region",
Z747="Missing Ship Mode",
AA747="Missing Discount",
X747="Flagged for Review"),
"Warning",
"Clean"))</f>
        <v>Clean</v>
      </c>
      <c r="AD747">
        <f t="shared" si="115"/>
        <v>0.2</v>
      </c>
      <c r="AE747">
        <f>N747*O747*(1-AD747)</f>
        <v>1736.616</v>
      </c>
      <c r="AF747">
        <f>AE747-R747</f>
        <v>677.096</v>
      </c>
      <c r="AG747" s="3">
        <f t="shared" si="116"/>
        <v>0.38989390861307277</v>
      </c>
      <c r="AH747" t="str">
        <f t="shared" si="117"/>
        <v>October</v>
      </c>
      <c r="AI747">
        <f t="shared" si="118"/>
        <v>2024</v>
      </c>
    </row>
    <row r="748" spans="1:35">
      <c r="A748" t="s">
        <v>2330</v>
      </c>
      <c r="B748" s="2">
        <v>45661</v>
      </c>
      <c r="C748" s="2">
        <v>45667</v>
      </c>
      <c r="D748" t="s">
        <v>2039</v>
      </c>
      <c r="E748" t="s">
        <v>142</v>
      </c>
      <c r="F748" t="s">
        <v>109</v>
      </c>
      <c r="G748" t="s">
        <v>52</v>
      </c>
      <c r="H748" t="s">
        <v>113</v>
      </c>
      <c r="I748" t="s">
        <v>114</v>
      </c>
      <c r="J748" t="s">
        <v>42</v>
      </c>
      <c r="K748" t="s">
        <v>43</v>
      </c>
      <c r="L748" t="s">
        <v>2331</v>
      </c>
      <c r="M748" t="s">
        <v>73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46</v>
      </c>
      <c r="U748" t="s">
        <v>47</v>
      </c>
      <c r="V748" t="str">
        <f t="shared" si="109"/>
        <v>Valid</v>
      </c>
      <c r="W748">
        <f t="shared" si="110"/>
        <v>6</v>
      </c>
      <c r="Y748" t="str">
        <f t="shared" si="111"/>
        <v>OK</v>
      </c>
      <c r="Z748" t="str">
        <f t="shared" si="112"/>
        <v>OK</v>
      </c>
      <c r="AA748" t="str">
        <f t="shared" si="113"/>
        <v>OK</v>
      </c>
      <c r="AB748" t="str">
        <f t="shared" si="114"/>
        <v>Valid</v>
      </c>
      <c r="AC748" t="str">
        <f>IF(OR(AB748="Invalid Discount",V748="Invalid Shipping"),
"Invalid",
IF(OR(Y748="Missing Region",
Z748="Missing Ship Mode",
AA748="Missing Discount",
X748="Flagged for Review"),
"Warning",
"Clean"))</f>
        <v>Clean</v>
      </c>
      <c r="AD748">
        <f t="shared" si="115"/>
        <v>0.2</v>
      </c>
      <c r="AE748">
        <f>N748*O748*(1-AD748)</f>
        <v>8266.2080000000005</v>
      </c>
      <c r="AF748">
        <f>AE748-R748</f>
        <v>2029.8880000000008</v>
      </c>
      <c r="AG748" s="3">
        <f t="shared" si="116"/>
        <v>0.24556459261610653</v>
      </c>
      <c r="AH748" t="str">
        <f t="shared" si="117"/>
        <v>January</v>
      </c>
      <c r="AI748">
        <f t="shared" si="118"/>
        <v>2025</v>
      </c>
    </row>
    <row r="749" spans="1:35">
      <c r="A749" t="s">
        <v>2332</v>
      </c>
      <c r="B749" s="2">
        <v>45413</v>
      </c>
      <c r="C749" s="2">
        <v>45419</v>
      </c>
      <c r="D749" t="s">
        <v>2333</v>
      </c>
      <c r="E749" t="s">
        <v>61</v>
      </c>
      <c r="F749" t="s">
        <v>109</v>
      </c>
      <c r="G749" t="s">
        <v>52</v>
      </c>
      <c r="H749" t="s">
        <v>53</v>
      </c>
      <c r="I749" t="s">
        <v>54</v>
      </c>
      <c r="J749" t="s">
        <v>42</v>
      </c>
      <c r="K749" t="s">
        <v>43</v>
      </c>
      <c r="L749" t="s">
        <v>2334</v>
      </c>
      <c r="M749" t="s">
        <v>58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46</v>
      </c>
      <c r="U749" t="s">
        <v>47</v>
      </c>
      <c r="V749" t="str">
        <f t="shared" si="109"/>
        <v>Valid</v>
      </c>
      <c r="W749">
        <f t="shared" si="110"/>
        <v>6</v>
      </c>
      <c r="Y749" t="str">
        <f t="shared" si="111"/>
        <v>OK</v>
      </c>
      <c r="Z749" t="str">
        <f t="shared" si="112"/>
        <v>OK</v>
      </c>
      <c r="AA749" t="str">
        <f t="shared" si="113"/>
        <v>OK</v>
      </c>
      <c r="AB749" t="str">
        <f t="shared" si="114"/>
        <v>Valid</v>
      </c>
      <c r="AC749" t="str">
        <f>IF(OR(AB749="Invalid Discount",V749="Invalid Shipping"),
"Invalid",
IF(OR(Y749="Missing Region",
Z749="Missing Ship Mode",
AA749="Missing Discount",
X749="Flagged for Review"),
"Warning",
"Clean"))</f>
        <v>Clean</v>
      </c>
      <c r="AD749">
        <f t="shared" si="115"/>
        <v>0.15</v>
      </c>
      <c r="AE749">
        <f>N749*O749*(1-AD749)</f>
        <v>10022.044</v>
      </c>
      <c r="AF749">
        <f>AE749-R749</f>
        <v>4445.0640000000003</v>
      </c>
      <c r="AG749" s="3">
        <f t="shared" si="116"/>
        <v>0.44352868536597928</v>
      </c>
      <c r="AH749" t="str">
        <f t="shared" si="117"/>
        <v>May</v>
      </c>
      <c r="AI749">
        <f t="shared" si="118"/>
        <v>2024</v>
      </c>
    </row>
    <row r="750" spans="1:35">
      <c r="A750" t="s">
        <v>2335</v>
      </c>
      <c r="B750" s="2">
        <v>45442</v>
      </c>
      <c r="C750" s="2">
        <v>45442</v>
      </c>
      <c r="D750" t="s">
        <v>2336</v>
      </c>
      <c r="E750" t="s">
        <v>176</v>
      </c>
      <c r="F750" t="s">
        <v>109</v>
      </c>
      <c r="G750" t="s">
        <v>39</v>
      </c>
      <c r="H750" t="s">
        <v>251</v>
      </c>
      <c r="I750" t="s">
        <v>252</v>
      </c>
      <c r="J750" t="s">
        <v>88</v>
      </c>
      <c r="K750" t="s">
        <v>185</v>
      </c>
      <c r="L750" t="s">
        <v>2337</v>
      </c>
      <c r="M750" t="s">
        <v>45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46</v>
      </c>
      <c r="U750" t="s">
        <v>47</v>
      </c>
      <c r="V750" t="str">
        <f t="shared" si="109"/>
        <v>Valid</v>
      </c>
      <c r="W750">
        <f t="shared" si="110"/>
        <v>0</v>
      </c>
      <c r="Y750" t="str">
        <f t="shared" si="111"/>
        <v>OK</v>
      </c>
      <c r="Z750" t="str">
        <f t="shared" si="112"/>
        <v>OK</v>
      </c>
      <c r="AA750" t="str">
        <f t="shared" si="113"/>
        <v>OK</v>
      </c>
      <c r="AB750" t="str">
        <f t="shared" si="114"/>
        <v>Valid</v>
      </c>
      <c r="AC750" t="str">
        <f>IF(OR(AB750="Invalid Discount",V750="Invalid Shipping"),
"Invalid",
IF(OR(Y750="Missing Region",
Z750="Missing Ship Mode",
AA750="Missing Discount",
X750="Flagged for Review"),
"Warning",
"Clean"))</f>
        <v>Clean</v>
      </c>
      <c r="AD750">
        <f t="shared" si="115"/>
        <v>0.25</v>
      </c>
      <c r="AE750">
        <f>N750*O750*(1-AD750)</f>
        <v>2886.0299999999997</v>
      </c>
      <c r="AF750">
        <f>AE750-R750</f>
        <v>821.19999999999982</v>
      </c>
      <c r="AG750" s="3">
        <f t="shared" si="116"/>
        <v>0.28454312671732446</v>
      </c>
      <c r="AH750" t="str">
        <f t="shared" si="117"/>
        <v>May</v>
      </c>
      <c r="AI750">
        <f t="shared" si="118"/>
        <v>2024</v>
      </c>
    </row>
    <row r="751" spans="1:35">
      <c r="A751" t="s">
        <v>2338</v>
      </c>
      <c r="B751" s="2">
        <v>45372</v>
      </c>
      <c r="C751" s="2">
        <v>45376</v>
      </c>
      <c r="D751" t="s">
        <v>2339</v>
      </c>
      <c r="E751" t="s">
        <v>103</v>
      </c>
      <c r="F751" t="s">
        <v>109</v>
      </c>
      <c r="G751" t="s">
        <v>52</v>
      </c>
      <c r="H751" t="s">
        <v>180</v>
      </c>
      <c r="I751" t="s">
        <v>181</v>
      </c>
      <c r="J751" t="s">
        <v>88</v>
      </c>
      <c r="K751" t="s">
        <v>289</v>
      </c>
      <c r="L751" t="s">
        <v>2340</v>
      </c>
      <c r="M751" t="s">
        <v>73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46</v>
      </c>
      <c r="U751" t="s">
        <v>47</v>
      </c>
      <c r="V751" t="str">
        <f t="shared" si="109"/>
        <v>Valid</v>
      </c>
      <c r="W751">
        <f t="shared" si="110"/>
        <v>4</v>
      </c>
      <c r="Y751" t="str">
        <f t="shared" si="111"/>
        <v>OK</v>
      </c>
      <c r="Z751" t="str">
        <f t="shared" si="112"/>
        <v>OK</v>
      </c>
      <c r="AA751" t="str">
        <f t="shared" si="113"/>
        <v>OK</v>
      </c>
      <c r="AB751" t="str">
        <f t="shared" si="114"/>
        <v>Valid</v>
      </c>
      <c r="AC751" t="str">
        <f>IF(OR(AB751="Invalid Discount",V751="Invalid Shipping"),
"Invalid",
IF(OR(Y751="Missing Region",
Z751="Missing Ship Mode",
AA751="Missing Discount",
X751="Flagged for Review"),
"Warning",
"Clean"))</f>
        <v>Clean</v>
      </c>
      <c r="AD751">
        <f t="shared" si="115"/>
        <v>0.15</v>
      </c>
      <c r="AE751">
        <f>N751*O751*(1-AD751)</f>
        <v>1459.1949999999999</v>
      </c>
      <c r="AF751">
        <f>AE751-R751</f>
        <v>403.40499999999997</v>
      </c>
      <c r="AG751" s="3">
        <f t="shared" si="116"/>
        <v>0.27645722470266137</v>
      </c>
      <c r="AH751" t="str">
        <f t="shared" si="117"/>
        <v>March</v>
      </c>
      <c r="AI751">
        <f t="shared" si="118"/>
        <v>2024</v>
      </c>
    </row>
    <row r="752" spans="1:35">
      <c r="A752" t="s">
        <v>2341</v>
      </c>
      <c r="B752" s="2">
        <v>45810</v>
      </c>
      <c r="C752" s="2">
        <v>45810</v>
      </c>
      <c r="D752" t="s">
        <v>2342</v>
      </c>
      <c r="E752" t="s">
        <v>142</v>
      </c>
      <c r="F752" t="s">
        <v>109</v>
      </c>
      <c r="G752" t="s">
        <v>68</v>
      </c>
      <c r="H752" t="s">
        <v>69</v>
      </c>
      <c r="I752" t="s">
        <v>70</v>
      </c>
      <c r="J752" t="s">
        <v>88</v>
      </c>
      <c r="K752" t="s">
        <v>89</v>
      </c>
      <c r="L752" t="s">
        <v>2343</v>
      </c>
      <c r="M752" t="s">
        <v>64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46</v>
      </c>
      <c r="U752" t="s">
        <v>47</v>
      </c>
      <c r="V752" t="str">
        <f t="shared" si="109"/>
        <v>Valid</v>
      </c>
      <c r="W752">
        <f t="shared" si="110"/>
        <v>0</v>
      </c>
      <c r="Y752" t="str">
        <f t="shared" si="111"/>
        <v>OK</v>
      </c>
      <c r="Z752" t="str">
        <f t="shared" si="112"/>
        <v>OK</v>
      </c>
      <c r="AA752" t="str">
        <f t="shared" si="113"/>
        <v>OK</v>
      </c>
      <c r="AB752" t="str">
        <f t="shared" si="114"/>
        <v>Valid</v>
      </c>
      <c r="AC752" t="str">
        <f>IF(OR(AB752="Invalid Discount",V752="Invalid Shipping"),
"Invalid",
IF(OR(Y752="Missing Region",
Z752="Missing Ship Mode",
AA752="Missing Discount",
X752="Flagged for Review"),
"Warning",
"Clean"))</f>
        <v>Clean</v>
      </c>
      <c r="AD752">
        <f t="shared" si="115"/>
        <v>0.15</v>
      </c>
      <c r="AE752">
        <f>N752*O752*(1-AD752)</f>
        <v>26696.323999999997</v>
      </c>
      <c r="AF752">
        <f>AE752-R752</f>
        <v>3971.8039999999964</v>
      </c>
      <c r="AG752" s="3">
        <f t="shared" si="116"/>
        <v>0.14877718745097629</v>
      </c>
      <c r="AH752" t="str">
        <f t="shared" si="117"/>
        <v>June</v>
      </c>
      <c r="AI752">
        <f t="shared" si="118"/>
        <v>2025</v>
      </c>
    </row>
    <row r="753" spans="1:35">
      <c r="A753" t="s">
        <v>2344</v>
      </c>
      <c r="B753" s="2">
        <v>45856</v>
      </c>
      <c r="C753" s="2">
        <v>45857</v>
      </c>
      <c r="D753" t="s">
        <v>2345</v>
      </c>
      <c r="E753" t="s">
        <v>128</v>
      </c>
      <c r="F753" t="s">
        <v>109</v>
      </c>
      <c r="G753" t="s">
        <v>219</v>
      </c>
      <c r="H753" t="s">
        <v>150</v>
      </c>
      <c r="I753" t="s">
        <v>151</v>
      </c>
      <c r="J753" t="s">
        <v>88</v>
      </c>
      <c r="K753" t="s">
        <v>289</v>
      </c>
      <c r="L753" t="s">
        <v>2346</v>
      </c>
      <c r="M753" t="s">
        <v>219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46</v>
      </c>
      <c r="U753" t="s">
        <v>47</v>
      </c>
      <c r="V753" t="str">
        <f t="shared" si="109"/>
        <v>Valid</v>
      </c>
      <c r="W753">
        <f t="shared" si="110"/>
        <v>1</v>
      </c>
      <c r="Y753" t="str">
        <f t="shared" si="111"/>
        <v>Missing Region</v>
      </c>
      <c r="Z753" t="str">
        <f t="shared" si="112"/>
        <v>Missing Ship Mode</v>
      </c>
      <c r="AA753" t="str">
        <f t="shared" si="113"/>
        <v>OK</v>
      </c>
      <c r="AB753" t="str">
        <f t="shared" si="114"/>
        <v>Valid</v>
      </c>
      <c r="AC753" t="str">
        <f>IF(OR(AB753="Invalid Discount",V753="Invalid Shipping"),
"Invalid",
IF(OR(Y753="Missing Region",
Z753="Missing Ship Mode",
AA753="Missing Discount",
X753="Flagged for Review"),
"Warning",
"Clean"))</f>
        <v>Warning</v>
      </c>
      <c r="AD753">
        <f t="shared" si="115"/>
        <v>0.05</v>
      </c>
      <c r="AE753">
        <f>N753*O753*(1-AD753)</f>
        <v>8445.2624999999989</v>
      </c>
      <c r="AF753">
        <f>AE753-R753</f>
        <v>1507.6624999999985</v>
      </c>
      <c r="AG753" s="3">
        <f t="shared" si="116"/>
        <v>0.17852168597482893</v>
      </c>
      <c r="AH753" t="str">
        <f t="shared" si="117"/>
        <v>July</v>
      </c>
      <c r="AI753">
        <f t="shared" si="118"/>
        <v>2025</v>
      </c>
    </row>
    <row r="754" spans="1:35">
      <c r="A754" t="s">
        <v>2347</v>
      </c>
      <c r="B754" s="2">
        <v>45375</v>
      </c>
      <c r="C754" s="2">
        <v>45378</v>
      </c>
      <c r="D754" t="s">
        <v>2348</v>
      </c>
      <c r="E754" t="s">
        <v>103</v>
      </c>
      <c r="F754" t="s">
        <v>104</v>
      </c>
      <c r="G754" t="s">
        <v>77</v>
      </c>
      <c r="H754" t="s">
        <v>194</v>
      </c>
      <c r="I754" t="s">
        <v>195</v>
      </c>
      <c r="J754" t="s">
        <v>42</v>
      </c>
      <c r="K754" t="s">
        <v>138</v>
      </c>
      <c r="L754" t="s">
        <v>2349</v>
      </c>
      <c r="M754" t="s">
        <v>64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46</v>
      </c>
      <c r="U754" t="s">
        <v>47</v>
      </c>
      <c r="V754" t="str">
        <f t="shared" si="109"/>
        <v>Valid</v>
      </c>
      <c r="W754">
        <f t="shared" si="110"/>
        <v>3</v>
      </c>
      <c r="Y754" t="str">
        <f t="shared" si="111"/>
        <v>OK</v>
      </c>
      <c r="Z754" t="str">
        <f t="shared" si="112"/>
        <v>OK</v>
      </c>
      <c r="AA754" t="str">
        <f t="shared" si="113"/>
        <v>OK</v>
      </c>
      <c r="AB754" t="str">
        <f t="shared" si="114"/>
        <v>Valid</v>
      </c>
      <c r="AC754" t="str">
        <f>IF(OR(AB754="Invalid Discount",V754="Invalid Shipping"),
"Invalid",
IF(OR(Y754="Missing Region",
Z754="Missing Ship Mode",
AA754="Missing Discount",
X754="Flagged for Review"),
"Warning",
"Clean"))</f>
        <v>Clean</v>
      </c>
      <c r="AD754">
        <f t="shared" si="115"/>
        <v>0.05</v>
      </c>
      <c r="AE754">
        <f>N754*O754*(1-AD754)</f>
        <v>11709.794999999998</v>
      </c>
      <c r="AF754">
        <f>AE754-R754</f>
        <v>3337.5049999999974</v>
      </c>
      <c r="AG754" s="3">
        <f t="shared" si="116"/>
        <v>0.28501822619439521</v>
      </c>
      <c r="AH754" t="str">
        <f t="shared" si="117"/>
        <v>March</v>
      </c>
      <c r="AI754">
        <f t="shared" si="118"/>
        <v>2024</v>
      </c>
    </row>
    <row r="755" spans="1:35">
      <c r="A755" t="s">
        <v>2350</v>
      </c>
      <c r="B755" s="2">
        <v>45515</v>
      </c>
      <c r="C755" s="2">
        <v>45514</v>
      </c>
      <c r="D755" t="s">
        <v>2351</v>
      </c>
      <c r="E755" t="s">
        <v>103</v>
      </c>
      <c r="F755" t="s">
        <v>104</v>
      </c>
      <c r="G755" t="s">
        <v>39</v>
      </c>
      <c r="H755" t="s">
        <v>365</v>
      </c>
      <c r="I755" t="s">
        <v>366</v>
      </c>
      <c r="J755" t="s">
        <v>55</v>
      </c>
      <c r="K755" t="s">
        <v>71</v>
      </c>
      <c r="L755" t="s">
        <v>2352</v>
      </c>
      <c r="M755" t="s">
        <v>45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169</v>
      </c>
      <c r="U755" t="s">
        <v>117</v>
      </c>
      <c r="V755" t="str">
        <f t="shared" si="109"/>
        <v>Invalid Shipping</v>
      </c>
      <c r="W755">
        <f t="shared" si="110"/>
        <v>-1</v>
      </c>
      <c r="Y755" t="str">
        <f t="shared" si="111"/>
        <v>OK</v>
      </c>
      <c r="Z755" t="str">
        <f t="shared" si="112"/>
        <v>OK</v>
      </c>
      <c r="AA755" t="str">
        <f t="shared" si="113"/>
        <v>OK</v>
      </c>
      <c r="AB755" t="str">
        <f t="shared" si="114"/>
        <v>Valid</v>
      </c>
      <c r="AC755" t="str">
        <f>IF(OR(AB755="Invalid Discount",V755="Invalid Shipping"),
"Invalid",
IF(OR(Y755="Missing Region",
Z755="Missing Ship Mode",
AA755="Missing Discount",
X755="Flagged for Review"),
"Warning",
"Clean"))</f>
        <v>Invalid</v>
      </c>
      <c r="AD755">
        <f t="shared" si="115"/>
        <v>0.15</v>
      </c>
      <c r="AE755">
        <f>N755*O755*(1-AD755)</f>
        <v>2593.9109999999996</v>
      </c>
      <c r="AF755">
        <f>AE755-R755</f>
        <v>745.43099999999959</v>
      </c>
      <c r="AG755" s="3">
        <f t="shared" si="116"/>
        <v>0.28737724617382776</v>
      </c>
      <c r="AH755" t="str">
        <f t="shared" si="117"/>
        <v>August</v>
      </c>
      <c r="AI755">
        <f t="shared" si="118"/>
        <v>2024</v>
      </c>
    </row>
    <row r="756" spans="1:35">
      <c r="A756" t="s">
        <v>2353</v>
      </c>
      <c r="B756" s="2">
        <v>45812</v>
      </c>
      <c r="C756" s="2">
        <v>45812</v>
      </c>
      <c r="D756" t="s">
        <v>2354</v>
      </c>
      <c r="E756" t="s">
        <v>93</v>
      </c>
      <c r="F756" t="s">
        <v>104</v>
      </c>
      <c r="G756" t="s">
        <v>68</v>
      </c>
      <c r="H756" t="s">
        <v>199</v>
      </c>
      <c r="I756" t="s">
        <v>200</v>
      </c>
      <c r="J756" t="s">
        <v>42</v>
      </c>
      <c r="K756" t="s">
        <v>138</v>
      </c>
      <c r="L756" t="s">
        <v>2355</v>
      </c>
      <c r="M756" t="s">
        <v>73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46</v>
      </c>
      <c r="U756" t="s">
        <v>47</v>
      </c>
      <c r="V756" t="str">
        <f t="shared" si="109"/>
        <v>Valid</v>
      </c>
      <c r="W756">
        <f t="shared" si="110"/>
        <v>0</v>
      </c>
      <c r="Y756" t="str">
        <f t="shared" si="111"/>
        <v>OK</v>
      </c>
      <c r="Z756" t="str">
        <f t="shared" si="112"/>
        <v>OK</v>
      </c>
      <c r="AA756" t="str">
        <f t="shared" si="113"/>
        <v>OK</v>
      </c>
      <c r="AB756" t="str">
        <f t="shared" si="114"/>
        <v>Valid</v>
      </c>
      <c r="AC756" t="str">
        <f>IF(OR(AB756="Invalid Discount",V756="Invalid Shipping"),
"Invalid",
IF(OR(Y756="Missing Region",
Z756="Missing Ship Mode",
AA756="Missing Discount",
X756="Flagged for Review"),
"Warning",
"Clean"))</f>
        <v>Clean</v>
      </c>
      <c r="AD756">
        <f t="shared" si="115"/>
        <v>0.25</v>
      </c>
      <c r="AE756">
        <f>N756*O756*(1-AD756)</f>
        <v>2674.02</v>
      </c>
      <c r="AF756">
        <f>AE756-R756</f>
        <v>466.44999999999982</v>
      </c>
      <c r="AG756" s="3">
        <f t="shared" si="116"/>
        <v>0.17443773793763689</v>
      </c>
      <c r="AH756" t="str">
        <f t="shared" si="117"/>
        <v>June</v>
      </c>
      <c r="AI756">
        <f t="shared" si="118"/>
        <v>2025</v>
      </c>
    </row>
    <row r="757" spans="1:35">
      <c r="A757" t="s">
        <v>2356</v>
      </c>
      <c r="B757" s="2">
        <v>45858</v>
      </c>
      <c r="C757" s="2">
        <v>45862</v>
      </c>
      <c r="D757" t="s">
        <v>2357</v>
      </c>
      <c r="E757" t="s">
        <v>128</v>
      </c>
      <c r="F757" t="s">
        <v>109</v>
      </c>
      <c r="G757" t="s">
        <v>77</v>
      </c>
      <c r="H757" t="s">
        <v>86</v>
      </c>
      <c r="I757" t="s">
        <v>87</v>
      </c>
      <c r="J757" t="s">
        <v>42</v>
      </c>
      <c r="K757" t="s">
        <v>138</v>
      </c>
      <c r="L757" t="s">
        <v>2358</v>
      </c>
      <c r="M757" t="s">
        <v>45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46</v>
      </c>
      <c r="U757" t="s">
        <v>47</v>
      </c>
      <c r="V757" t="str">
        <f t="shared" si="109"/>
        <v>Valid</v>
      </c>
      <c r="W757">
        <f t="shared" si="110"/>
        <v>4</v>
      </c>
      <c r="Y757" t="str">
        <f t="shared" si="111"/>
        <v>OK</v>
      </c>
      <c r="Z757" t="str">
        <f t="shared" si="112"/>
        <v>OK</v>
      </c>
      <c r="AA757" t="str">
        <f t="shared" si="113"/>
        <v>OK</v>
      </c>
      <c r="AB757" t="str">
        <f t="shared" si="114"/>
        <v>Valid</v>
      </c>
      <c r="AC757" t="str">
        <f>IF(OR(AB757="Invalid Discount",V757="Invalid Shipping"),
"Invalid",
IF(OR(Y757="Missing Region",
Z757="Missing Ship Mode",
AA757="Missing Discount",
X757="Flagged for Review"),
"Warning",
"Clean"))</f>
        <v>Clean</v>
      </c>
      <c r="AD757">
        <f t="shared" si="115"/>
        <v>0.2</v>
      </c>
      <c r="AE757">
        <f>N757*O757*(1-AD757)</f>
        <v>9926.9599999999991</v>
      </c>
      <c r="AF757">
        <f>AE757-R757</f>
        <v>1931.9799999999996</v>
      </c>
      <c r="AG757" s="3">
        <f t="shared" si="116"/>
        <v>0.19461950083409219</v>
      </c>
      <c r="AH757" t="str">
        <f t="shared" si="117"/>
        <v>July</v>
      </c>
      <c r="AI757">
        <f t="shared" si="118"/>
        <v>2025</v>
      </c>
    </row>
    <row r="758" spans="1:35">
      <c r="A758" t="s">
        <v>2359</v>
      </c>
      <c r="B758" s="2">
        <v>45592</v>
      </c>
      <c r="C758" s="2">
        <v>45597</v>
      </c>
      <c r="D758" t="s">
        <v>2360</v>
      </c>
      <c r="E758" t="s">
        <v>155</v>
      </c>
      <c r="F758" t="s">
        <v>38</v>
      </c>
      <c r="G758" t="s">
        <v>39</v>
      </c>
      <c r="H758" t="s">
        <v>40</v>
      </c>
      <c r="I758" t="s">
        <v>41</v>
      </c>
      <c r="J758" t="s">
        <v>88</v>
      </c>
      <c r="K758" t="s">
        <v>89</v>
      </c>
      <c r="L758" t="s">
        <v>2361</v>
      </c>
      <c r="M758" t="s">
        <v>58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46</v>
      </c>
      <c r="U758" t="s">
        <v>117</v>
      </c>
      <c r="V758" t="str">
        <f t="shared" si="109"/>
        <v>Valid</v>
      </c>
      <c r="W758">
        <f t="shared" si="110"/>
        <v>5</v>
      </c>
      <c r="Y758" t="str">
        <f t="shared" si="111"/>
        <v>OK</v>
      </c>
      <c r="Z758" t="str">
        <f t="shared" si="112"/>
        <v>OK</v>
      </c>
      <c r="AA758" t="str">
        <f t="shared" si="113"/>
        <v>OK</v>
      </c>
      <c r="AB758" t="str">
        <f t="shared" si="114"/>
        <v>Valid</v>
      </c>
      <c r="AC758" t="str">
        <f>IF(OR(AB758="Invalid Discount",V758="Invalid Shipping"),
"Invalid",
IF(OR(Y758="Missing Region",
Z758="Missing Ship Mode",
AA758="Missing Discount",
X758="Flagged for Review"),
"Warning",
"Clean"))</f>
        <v>Clean</v>
      </c>
      <c r="AD758">
        <f t="shared" si="115"/>
        <v>0.2</v>
      </c>
      <c r="AE758">
        <f>N758*O758*(1-AD758)</f>
        <v>12191.76</v>
      </c>
      <c r="AF758">
        <f>AE758-R758</f>
        <v>1734.2700000000004</v>
      </c>
      <c r="AG758" s="3">
        <f t="shared" si="116"/>
        <v>0.14224935530226976</v>
      </c>
      <c r="AH758" t="str">
        <f t="shared" si="117"/>
        <v>October</v>
      </c>
      <c r="AI758">
        <f t="shared" si="118"/>
        <v>2024</v>
      </c>
    </row>
    <row r="759" spans="1:35">
      <c r="A759" t="s">
        <v>2362</v>
      </c>
      <c r="B759" s="2">
        <v>45870</v>
      </c>
      <c r="C759" s="2">
        <v>45872</v>
      </c>
      <c r="D759" t="s">
        <v>2363</v>
      </c>
      <c r="E759" t="s">
        <v>103</v>
      </c>
      <c r="F759" t="s">
        <v>51</v>
      </c>
      <c r="G759" t="s">
        <v>68</v>
      </c>
      <c r="H759" t="s">
        <v>199</v>
      </c>
      <c r="I759" t="s">
        <v>200</v>
      </c>
      <c r="J759" t="s">
        <v>55</v>
      </c>
      <c r="K759" t="s">
        <v>172</v>
      </c>
      <c r="L759" t="s">
        <v>2364</v>
      </c>
      <c r="M759" t="s">
        <v>73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169</v>
      </c>
      <c r="U759" t="s">
        <v>82</v>
      </c>
      <c r="V759" t="str">
        <f t="shared" si="109"/>
        <v>Valid</v>
      </c>
      <c r="W759">
        <f t="shared" si="110"/>
        <v>2</v>
      </c>
      <c r="Y759" t="str">
        <f t="shared" si="111"/>
        <v>OK</v>
      </c>
      <c r="Z759" t="str">
        <f t="shared" si="112"/>
        <v>OK</v>
      </c>
      <c r="AA759" t="str">
        <f t="shared" si="113"/>
        <v>OK</v>
      </c>
      <c r="AB759" t="str">
        <f t="shared" si="114"/>
        <v>Valid</v>
      </c>
      <c r="AC759" t="str">
        <f>IF(OR(AB759="Invalid Discount",V759="Invalid Shipping"),
"Invalid",
IF(OR(Y759="Missing Region",
Z759="Missing Ship Mode",
AA759="Missing Discount",
X759="Flagged for Review"),
"Warning",
"Clean"))</f>
        <v>Clean</v>
      </c>
      <c r="AD759">
        <f t="shared" si="115"/>
        <v>0.25</v>
      </c>
      <c r="AE759">
        <f>N759*O759*(1-AD759)</f>
        <v>4285.7550000000001</v>
      </c>
      <c r="AF759">
        <f>AE759-R759</f>
        <v>1899.4250000000002</v>
      </c>
      <c r="AG759" s="3">
        <f t="shared" si="116"/>
        <v>0.44319495631458172</v>
      </c>
      <c r="AH759" t="str">
        <f t="shared" si="117"/>
        <v>August</v>
      </c>
      <c r="AI759">
        <f t="shared" si="118"/>
        <v>2025</v>
      </c>
    </row>
    <row r="760" spans="1:35">
      <c r="A760" t="s">
        <v>2365</v>
      </c>
      <c r="B760" s="2">
        <v>45414</v>
      </c>
      <c r="C760" s="2">
        <v>45422</v>
      </c>
      <c r="D760" t="s">
        <v>2366</v>
      </c>
      <c r="E760" t="s">
        <v>142</v>
      </c>
      <c r="F760" t="s">
        <v>51</v>
      </c>
      <c r="G760" t="s">
        <v>68</v>
      </c>
      <c r="H760" t="s">
        <v>189</v>
      </c>
      <c r="I760" t="s">
        <v>190</v>
      </c>
      <c r="J760" t="s">
        <v>55</v>
      </c>
      <c r="K760" t="s">
        <v>80</v>
      </c>
      <c r="L760" t="s">
        <v>2367</v>
      </c>
      <c r="M760" t="s">
        <v>73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46</v>
      </c>
      <c r="U760" t="s">
        <v>47</v>
      </c>
      <c r="V760" t="str">
        <f t="shared" si="109"/>
        <v>Valid</v>
      </c>
      <c r="W760">
        <f t="shared" si="110"/>
        <v>8</v>
      </c>
      <c r="Y760" t="str">
        <f t="shared" si="111"/>
        <v>OK</v>
      </c>
      <c r="Z760" t="str">
        <f t="shared" si="112"/>
        <v>OK</v>
      </c>
      <c r="AA760" t="str">
        <f t="shared" si="113"/>
        <v>OK</v>
      </c>
      <c r="AB760" t="str">
        <f t="shared" si="114"/>
        <v>Valid</v>
      </c>
      <c r="AC760" t="str">
        <f>IF(OR(AB760="Invalid Discount",V760="Invalid Shipping"),
"Invalid",
IF(OR(Y760="Missing Region",
Z760="Missing Ship Mode",
AA760="Missing Discount",
X760="Flagged for Review"),
"Warning",
"Clean"))</f>
        <v>Clean</v>
      </c>
      <c r="AD760">
        <f t="shared" si="115"/>
        <v>0</v>
      </c>
      <c r="AE760">
        <f>N760*O760*(1-AD760)</f>
        <v>4166.91</v>
      </c>
      <c r="AF760">
        <f>AE760-R760</f>
        <v>754.27999999999975</v>
      </c>
      <c r="AG760" s="3">
        <f t="shared" si="116"/>
        <v>0.18101662862888801</v>
      </c>
      <c r="AH760" t="str">
        <f t="shared" si="117"/>
        <v>May</v>
      </c>
      <c r="AI760">
        <f t="shared" si="118"/>
        <v>2024</v>
      </c>
    </row>
    <row r="761" spans="1:35">
      <c r="A761" t="s">
        <v>2368</v>
      </c>
      <c r="B761" s="2">
        <v>45492</v>
      </c>
      <c r="C761" s="2">
        <v>45499</v>
      </c>
      <c r="D761" t="s">
        <v>2369</v>
      </c>
      <c r="E761" t="s">
        <v>67</v>
      </c>
      <c r="F761" t="s">
        <v>109</v>
      </c>
      <c r="G761" t="s">
        <v>68</v>
      </c>
      <c r="H761" t="s">
        <v>189</v>
      </c>
      <c r="I761" t="s">
        <v>190</v>
      </c>
      <c r="J761" t="s">
        <v>55</v>
      </c>
      <c r="K761" t="s">
        <v>56</v>
      </c>
      <c r="L761" t="s">
        <v>2370</v>
      </c>
      <c r="M761" t="s">
        <v>45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46</v>
      </c>
      <c r="U761" t="s">
        <v>47</v>
      </c>
      <c r="V761" t="str">
        <f t="shared" si="109"/>
        <v>Valid</v>
      </c>
      <c r="W761">
        <f t="shared" si="110"/>
        <v>7</v>
      </c>
      <c r="Y761" t="str">
        <f t="shared" si="111"/>
        <v>OK</v>
      </c>
      <c r="Z761" t="str">
        <f t="shared" si="112"/>
        <v>OK</v>
      </c>
      <c r="AA761" t="str">
        <f t="shared" si="113"/>
        <v>OK</v>
      </c>
      <c r="AB761" t="str">
        <f t="shared" si="114"/>
        <v>Valid</v>
      </c>
      <c r="AC761" t="str">
        <f>IF(OR(AB761="Invalid Discount",V761="Invalid Shipping"),
"Invalid",
IF(OR(Y761="Missing Region",
Z761="Missing Ship Mode",
AA761="Missing Discount",
X761="Flagged for Review"),
"Warning",
"Clean"))</f>
        <v>Clean</v>
      </c>
      <c r="AD761">
        <f t="shared" si="115"/>
        <v>0.25</v>
      </c>
      <c r="AE761">
        <f>N761*O761*(1-AD761)</f>
        <v>14947.537500000002</v>
      </c>
      <c r="AF761">
        <f>AE761-R761</f>
        <v>5509.0775000000031</v>
      </c>
      <c r="AG761" s="3">
        <f t="shared" si="116"/>
        <v>0.36856087499362367</v>
      </c>
      <c r="AH761" t="str">
        <f t="shared" si="117"/>
        <v>July</v>
      </c>
      <c r="AI761">
        <f t="shared" si="118"/>
        <v>2024</v>
      </c>
    </row>
    <row r="762" spans="1:35">
      <c r="A762" t="s">
        <v>2371</v>
      </c>
      <c r="B762" s="2">
        <v>45532</v>
      </c>
      <c r="C762" s="2">
        <v>45537</v>
      </c>
      <c r="D762" t="s">
        <v>2372</v>
      </c>
      <c r="E762" t="s">
        <v>103</v>
      </c>
      <c r="F762" t="s">
        <v>109</v>
      </c>
      <c r="G762" t="s">
        <v>52</v>
      </c>
      <c r="H762" t="s">
        <v>180</v>
      </c>
      <c r="I762" t="s">
        <v>181</v>
      </c>
      <c r="J762" t="s">
        <v>42</v>
      </c>
      <c r="K762" t="s">
        <v>62</v>
      </c>
      <c r="L762" t="s">
        <v>2373</v>
      </c>
      <c r="M762" t="s">
        <v>45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125</v>
      </c>
      <c r="U762" t="s">
        <v>117</v>
      </c>
      <c r="V762" t="str">
        <f t="shared" si="109"/>
        <v>Valid</v>
      </c>
      <c r="W762">
        <f t="shared" si="110"/>
        <v>5</v>
      </c>
      <c r="Y762" t="str">
        <f t="shared" si="111"/>
        <v>OK</v>
      </c>
      <c r="Z762" t="str">
        <f t="shared" si="112"/>
        <v>OK</v>
      </c>
      <c r="AA762" t="str">
        <f t="shared" si="113"/>
        <v>OK</v>
      </c>
      <c r="AB762" t="str">
        <f t="shared" si="114"/>
        <v>Valid</v>
      </c>
      <c r="AC762" t="str">
        <f>IF(OR(AB762="Invalid Discount",V762="Invalid Shipping"),
"Invalid",
IF(OR(Y762="Missing Region",
Z762="Missing Ship Mode",
AA762="Missing Discount",
X762="Flagged for Review"),
"Warning",
"Clean"))</f>
        <v>Clean</v>
      </c>
      <c r="AD762">
        <f t="shared" si="115"/>
        <v>0</v>
      </c>
      <c r="AE762">
        <f>N762*O762*(1-AD762)</f>
        <v>13462.12</v>
      </c>
      <c r="AF762">
        <f>AE762-R762</f>
        <v>5861.4900000000007</v>
      </c>
      <c r="AG762" s="3">
        <f t="shared" si="116"/>
        <v>0.43540616188237813</v>
      </c>
      <c r="AH762" t="str">
        <f t="shared" si="117"/>
        <v>August</v>
      </c>
      <c r="AI762">
        <f t="shared" si="118"/>
        <v>2024</v>
      </c>
    </row>
    <row r="763" spans="1:35">
      <c r="A763" t="s">
        <v>2374</v>
      </c>
      <c r="B763" s="2">
        <v>45896</v>
      </c>
      <c r="C763" s="2">
        <v>45900</v>
      </c>
      <c r="D763" t="s">
        <v>2375</v>
      </c>
      <c r="E763" t="s">
        <v>61</v>
      </c>
      <c r="F763" t="s">
        <v>38</v>
      </c>
      <c r="G763" t="s">
        <v>68</v>
      </c>
      <c r="H763" t="s">
        <v>189</v>
      </c>
      <c r="I763" t="s">
        <v>190</v>
      </c>
      <c r="J763" t="s">
        <v>88</v>
      </c>
      <c r="K763" t="s">
        <v>289</v>
      </c>
      <c r="L763" t="s">
        <v>2376</v>
      </c>
      <c r="M763" t="s">
        <v>64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46</v>
      </c>
      <c r="U763" t="s">
        <v>47</v>
      </c>
      <c r="V763" t="str">
        <f t="shared" si="109"/>
        <v>Valid</v>
      </c>
      <c r="W763">
        <f t="shared" si="110"/>
        <v>4</v>
      </c>
      <c r="Y763" t="str">
        <f t="shared" si="111"/>
        <v>OK</v>
      </c>
      <c r="Z763" t="str">
        <f t="shared" si="112"/>
        <v>OK</v>
      </c>
      <c r="AA763" t="str">
        <f t="shared" si="113"/>
        <v>OK</v>
      </c>
      <c r="AB763" t="str">
        <f t="shared" si="114"/>
        <v>Valid</v>
      </c>
      <c r="AC763" t="str">
        <f>IF(OR(AB763="Invalid Discount",V763="Invalid Shipping"),
"Invalid",
IF(OR(Y763="Missing Region",
Z763="Missing Ship Mode",
AA763="Missing Discount",
X763="Flagged for Review"),
"Warning",
"Clean"))</f>
        <v>Clean</v>
      </c>
      <c r="AD763">
        <f t="shared" si="115"/>
        <v>0</v>
      </c>
      <c r="AE763">
        <f>N763*O763*(1-AD763)</f>
        <v>7467.36</v>
      </c>
      <c r="AF763">
        <f>AE763-R763</f>
        <v>2456.75</v>
      </c>
      <c r="AG763" s="3">
        <f t="shared" si="116"/>
        <v>0.32899846799940008</v>
      </c>
      <c r="AH763" t="str">
        <f t="shared" si="117"/>
        <v>August</v>
      </c>
      <c r="AI763">
        <f t="shared" si="118"/>
        <v>2025</v>
      </c>
    </row>
    <row r="764" spans="1:35">
      <c r="A764" t="s">
        <v>2377</v>
      </c>
      <c r="B764" s="2">
        <v>45292</v>
      </c>
      <c r="C764" s="2">
        <v>45296</v>
      </c>
      <c r="D764" t="s">
        <v>2378</v>
      </c>
      <c r="E764" t="s">
        <v>176</v>
      </c>
      <c r="F764" t="s">
        <v>104</v>
      </c>
      <c r="G764" t="s">
        <v>77</v>
      </c>
      <c r="H764" t="s">
        <v>86</v>
      </c>
      <c r="I764" t="s">
        <v>87</v>
      </c>
      <c r="J764" t="s">
        <v>88</v>
      </c>
      <c r="K764" t="s">
        <v>289</v>
      </c>
      <c r="L764" t="s">
        <v>2379</v>
      </c>
      <c r="M764" t="s">
        <v>45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116</v>
      </c>
      <c r="U764" t="s">
        <v>117</v>
      </c>
      <c r="V764" t="str">
        <f t="shared" si="109"/>
        <v>Valid</v>
      </c>
      <c r="W764">
        <f t="shared" si="110"/>
        <v>4</v>
      </c>
      <c r="Y764" t="str">
        <f t="shared" si="111"/>
        <v>OK</v>
      </c>
      <c r="Z764" t="str">
        <f t="shared" si="112"/>
        <v>OK</v>
      </c>
      <c r="AA764" t="str">
        <f t="shared" si="113"/>
        <v>OK</v>
      </c>
      <c r="AB764" t="str">
        <f t="shared" si="114"/>
        <v>Valid</v>
      </c>
      <c r="AC764" t="str">
        <f>IF(OR(AB764="Invalid Discount",V764="Invalid Shipping"),
"Invalid",
IF(OR(Y764="Missing Region",
Z764="Missing Ship Mode",
AA764="Missing Discount",
X764="Flagged for Review"),
"Warning",
"Clean"))</f>
        <v>Clean</v>
      </c>
      <c r="AD764">
        <f t="shared" si="115"/>
        <v>0.2</v>
      </c>
      <c r="AE764">
        <f>N764*O764*(1-AD764)</f>
        <v>5910.5920000000006</v>
      </c>
      <c r="AF764">
        <f>AE764-R764</f>
        <v>1135.152000000001</v>
      </c>
      <c r="AG764" s="3">
        <f t="shared" si="116"/>
        <v>0.19205385856442145</v>
      </c>
      <c r="AH764" t="str">
        <f t="shared" si="117"/>
        <v>January</v>
      </c>
      <c r="AI764">
        <f t="shared" si="118"/>
        <v>2024</v>
      </c>
    </row>
    <row r="765" spans="1:35">
      <c r="A765" t="s">
        <v>2380</v>
      </c>
      <c r="B765" s="2">
        <v>45892</v>
      </c>
      <c r="C765" s="2">
        <v>45894</v>
      </c>
      <c r="D765" t="s">
        <v>2381</v>
      </c>
      <c r="E765" t="s">
        <v>176</v>
      </c>
      <c r="F765" t="s">
        <v>38</v>
      </c>
      <c r="G765" t="s">
        <v>39</v>
      </c>
      <c r="H765" t="s">
        <v>40</v>
      </c>
      <c r="I765" t="s">
        <v>41</v>
      </c>
      <c r="J765" t="s">
        <v>55</v>
      </c>
      <c r="K765" t="s">
        <v>71</v>
      </c>
      <c r="L765" t="s">
        <v>2382</v>
      </c>
      <c r="M765" t="s">
        <v>58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46</v>
      </c>
      <c r="U765" t="s">
        <v>47</v>
      </c>
      <c r="V765" t="str">
        <f t="shared" si="109"/>
        <v>Valid</v>
      </c>
      <c r="W765">
        <f t="shared" si="110"/>
        <v>2</v>
      </c>
      <c r="Y765" t="str">
        <f t="shared" si="111"/>
        <v>OK</v>
      </c>
      <c r="Z765" t="str">
        <f t="shared" si="112"/>
        <v>OK</v>
      </c>
      <c r="AA765" t="str">
        <f t="shared" si="113"/>
        <v>OK</v>
      </c>
      <c r="AB765" t="str">
        <f t="shared" si="114"/>
        <v>Valid</v>
      </c>
      <c r="AC765" t="str">
        <f>IF(OR(AB765="Invalid Discount",V765="Invalid Shipping"),
"Invalid",
IF(OR(Y765="Missing Region",
Z765="Missing Ship Mode",
AA765="Missing Discount",
X765="Flagged for Review"),
"Warning",
"Clean"))</f>
        <v>Clean</v>
      </c>
      <c r="AD765">
        <f t="shared" si="115"/>
        <v>0</v>
      </c>
      <c r="AE765">
        <f>N765*O765*(1-AD765)</f>
        <v>16454.88</v>
      </c>
      <c r="AF765">
        <f>AE765-R765</f>
        <v>4373.34</v>
      </c>
      <c r="AG765" s="3">
        <f t="shared" si="116"/>
        <v>0.26577769026574488</v>
      </c>
      <c r="AH765" t="str">
        <f t="shared" si="117"/>
        <v>August</v>
      </c>
      <c r="AI765">
        <f t="shared" si="118"/>
        <v>2025</v>
      </c>
    </row>
    <row r="766" spans="1:35">
      <c r="A766" t="s">
        <v>2383</v>
      </c>
      <c r="B766" s="2">
        <v>45760</v>
      </c>
      <c r="C766" s="2">
        <v>45760</v>
      </c>
      <c r="D766" t="s">
        <v>900</v>
      </c>
      <c r="E766" t="s">
        <v>128</v>
      </c>
      <c r="F766" t="s">
        <v>104</v>
      </c>
      <c r="G766" t="s">
        <v>68</v>
      </c>
      <c r="H766" t="s">
        <v>199</v>
      </c>
      <c r="I766" t="s">
        <v>200</v>
      </c>
      <c r="J766" t="s">
        <v>55</v>
      </c>
      <c r="K766" t="s">
        <v>172</v>
      </c>
      <c r="L766" t="s">
        <v>2384</v>
      </c>
      <c r="M766" t="s">
        <v>64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46</v>
      </c>
      <c r="U766" t="s">
        <v>47</v>
      </c>
      <c r="V766" t="str">
        <f t="shared" si="109"/>
        <v>Valid</v>
      </c>
      <c r="W766">
        <f t="shared" si="110"/>
        <v>0</v>
      </c>
      <c r="Y766" t="str">
        <f t="shared" si="111"/>
        <v>OK</v>
      </c>
      <c r="Z766" t="str">
        <f t="shared" si="112"/>
        <v>OK</v>
      </c>
      <c r="AA766" t="str">
        <f t="shared" si="113"/>
        <v>OK</v>
      </c>
      <c r="AB766" t="str">
        <f t="shared" si="114"/>
        <v>Valid</v>
      </c>
      <c r="AC766" t="str">
        <f>IF(OR(AB766="Invalid Discount",V766="Invalid Shipping"),
"Invalid",
IF(OR(Y766="Missing Region",
Z766="Missing Ship Mode",
AA766="Missing Discount",
X766="Flagged for Review"),
"Warning",
"Clean"))</f>
        <v>Clean</v>
      </c>
      <c r="AD766">
        <f t="shared" si="115"/>
        <v>0.05</v>
      </c>
      <c r="AE766">
        <f>N766*O766*(1-AD766)</f>
        <v>25159.8</v>
      </c>
      <c r="AF766">
        <f>AE766-R766</f>
        <v>3552.9699999999975</v>
      </c>
      <c r="AG766" s="3">
        <f t="shared" si="116"/>
        <v>0.14121614639226057</v>
      </c>
      <c r="AH766" t="str">
        <f t="shared" si="117"/>
        <v>April</v>
      </c>
      <c r="AI766">
        <f t="shared" si="118"/>
        <v>2025</v>
      </c>
    </row>
    <row r="767" spans="1:35">
      <c r="A767" t="s">
        <v>2385</v>
      </c>
      <c r="B767" s="2">
        <v>45837</v>
      </c>
      <c r="C767" s="2">
        <v>45841</v>
      </c>
      <c r="D767" t="s">
        <v>2386</v>
      </c>
      <c r="E767" t="s">
        <v>85</v>
      </c>
      <c r="F767" t="s">
        <v>104</v>
      </c>
      <c r="G767" t="s">
        <v>52</v>
      </c>
      <c r="H767" t="s">
        <v>243</v>
      </c>
      <c r="I767" t="s">
        <v>244</v>
      </c>
      <c r="J767" t="s">
        <v>42</v>
      </c>
      <c r="K767" t="s">
        <v>105</v>
      </c>
      <c r="L767" t="s">
        <v>2387</v>
      </c>
      <c r="M767" t="s">
        <v>64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46</v>
      </c>
      <c r="U767" t="s">
        <v>47</v>
      </c>
      <c r="V767" t="str">
        <f t="shared" si="109"/>
        <v>Valid</v>
      </c>
      <c r="W767">
        <f t="shared" si="110"/>
        <v>4</v>
      </c>
      <c r="Y767" t="str">
        <f t="shared" si="111"/>
        <v>OK</v>
      </c>
      <c r="Z767" t="str">
        <f t="shared" si="112"/>
        <v>OK</v>
      </c>
      <c r="AA767" t="str">
        <f t="shared" si="113"/>
        <v>OK</v>
      </c>
      <c r="AB767" t="str">
        <f t="shared" si="114"/>
        <v>Valid</v>
      </c>
      <c r="AC767" t="str">
        <f>IF(OR(AB767="Invalid Discount",V767="Invalid Shipping"),
"Invalid",
IF(OR(Y767="Missing Region",
Z767="Missing Ship Mode",
AA767="Missing Discount",
X767="Flagged for Review"),
"Warning",
"Clean"))</f>
        <v>Clean</v>
      </c>
      <c r="AD767">
        <f t="shared" si="115"/>
        <v>0</v>
      </c>
      <c r="AE767">
        <f>N767*O767*(1-AD767)</f>
        <v>1824.42</v>
      </c>
      <c r="AF767">
        <f>AE767-R767</f>
        <v>609.55000000000018</v>
      </c>
      <c r="AG767" s="3">
        <f t="shared" si="116"/>
        <v>0.33410618169061956</v>
      </c>
      <c r="AH767" t="str">
        <f t="shared" si="117"/>
        <v>June</v>
      </c>
      <c r="AI767">
        <f t="shared" si="118"/>
        <v>2025</v>
      </c>
    </row>
    <row r="768" spans="1:35">
      <c r="A768" t="s">
        <v>2388</v>
      </c>
      <c r="B768" s="2">
        <v>45552</v>
      </c>
      <c r="C768" s="2">
        <v>45559</v>
      </c>
      <c r="D768" t="s">
        <v>2389</v>
      </c>
      <c r="E768" t="s">
        <v>50</v>
      </c>
      <c r="F768" t="s">
        <v>104</v>
      </c>
      <c r="G768" t="s">
        <v>77</v>
      </c>
      <c r="H768" t="s">
        <v>194</v>
      </c>
      <c r="I768" t="s">
        <v>195</v>
      </c>
      <c r="J768" t="s">
        <v>42</v>
      </c>
      <c r="K768" t="s">
        <v>62</v>
      </c>
      <c r="L768" t="s">
        <v>2390</v>
      </c>
      <c r="M768" t="s">
        <v>45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46</v>
      </c>
      <c r="U768" t="s">
        <v>82</v>
      </c>
      <c r="V768" t="str">
        <f t="shared" si="109"/>
        <v>Valid</v>
      </c>
      <c r="W768">
        <f t="shared" si="110"/>
        <v>7</v>
      </c>
      <c r="Y768" t="str">
        <f t="shared" si="111"/>
        <v>OK</v>
      </c>
      <c r="Z768" t="str">
        <f t="shared" si="112"/>
        <v>OK</v>
      </c>
      <c r="AA768" t="str">
        <f t="shared" si="113"/>
        <v>OK</v>
      </c>
      <c r="AB768" t="str">
        <f t="shared" si="114"/>
        <v>Valid</v>
      </c>
      <c r="AC768" t="str">
        <f>IF(OR(AB768="Invalid Discount",V768="Invalid Shipping"),
"Invalid",
IF(OR(Y768="Missing Region",
Z768="Missing Ship Mode",
AA768="Missing Discount",
X768="Flagged for Review"),
"Warning",
"Clean"))</f>
        <v>Clean</v>
      </c>
      <c r="AD768">
        <f t="shared" si="115"/>
        <v>0.2</v>
      </c>
      <c r="AE768">
        <f>N768*O768*(1-AD768)</f>
        <v>16617.312000000002</v>
      </c>
      <c r="AF768">
        <f>AE768-R768</f>
        <v>7421.5820000000022</v>
      </c>
      <c r="AG768" s="3">
        <f t="shared" si="116"/>
        <v>0.44661747940942564</v>
      </c>
      <c r="AH768" t="str">
        <f t="shared" si="117"/>
        <v>September</v>
      </c>
      <c r="AI768">
        <f t="shared" si="118"/>
        <v>2024</v>
      </c>
    </row>
    <row r="769" spans="1:35">
      <c r="A769" t="s">
        <v>2391</v>
      </c>
      <c r="B769" s="2">
        <v>45415</v>
      </c>
      <c r="C769" s="2">
        <v>45418</v>
      </c>
      <c r="D769" t="s">
        <v>2392</v>
      </c>
      <c r="E769" t="s">
        <v>76</v>
      </c>
      <c r="F769" t="s">
        <v>109</v>
      </c>
      <c r="G769" t="s">
        <v>39</v>
      </c>
      <c r="H769" t="s">
        <v>150</v>
      </c>
      <c r="I769" t="s">
        <v>151</v>
      </c>
      <c r="J769" t="s">
        <v>42</v>
      </c>
      <c r="K769" t="s">
        <v>167</v>
      </c>
      <c r="L769" t="s">
        <v>2393</v>
      </c>
      <c r="M769" t="s">
        <v>73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46</v>
      </c>
      <c r="U769" t="s">
        <v>47</v>
      </c>
      <c r="V769" t="str">
        <f t="shared" si="109"/>
        <v>Valid</v>
      </c>
      <c r="W769">
        <f t="shared" si="110"/>
        <v>3</v>
      </c>
      <c r="Y769" t="str">
        <f t="shared" si="111"/>
        <v>OK</v>
      </c>
      <c r="Z769" t="str">
        <f t="shared" si="112"/>
        <v>OK</v>
      </c>
      <c r="AA769" t="str">
        <f t="shared" si="113"/>
        <v>OK</v>
      </c>
      <c r="AB769" t="str">
        <f t="shared" si="114"/>
        <v>Valid</v>
      </c>
      <c r="AC769" t="str">
        <f>IF(OR(AB769="Invalid Discount",V769="Invalid Shipping"),
"Invalid",
IF(OR(Y769="Missing Region",
Z769="Missing Ship Mode",
AA769="Missing Discount",
X769="Flagged for Review"),
"Warning",
"Clean"))</f>
        <v>Clean</v>
      </c>
      <c r="AD769">
        <f t="shared" si="115"/>
        <v>0.25</v>
      </c>
      <c r="AE769">
        <f>N769*O769*(1-AD769)</f>
        <v>933.43499999999995</v>
      </c>
      <c r="AF769">
        <f>AE769-R769</f>
        <v>350.34499999999991</v>
      </c>
      <c r="AG769" s="3">
        <f t="shared" si="116"/>
        <v>0.3753287588316272</v>
      </c>
      <c r="AH769" t="str">
        <f t="shared" si="117"/>
        <v>May</v>
      </c>
      <c r="AI769">
        <f t="shared" si="118"/>
        <v>2024</v>
      </c>
    </row>
    <row r="770" spans="1:35">
      <c r="A770" t="s">
        <v>2394</v>
      </c>
      <c r="B770" s="2">
        <v>45749</v>
      </c>
      <c r="C770" s="2">
        <v>45751</v>
      </c>
      <c r="D770" t="s">
        <v>2395</v>
      </c>
      <c r="E770" t="s">
        <v>146</v>
      </c>
      <c r="F770" t="s">
        <v>109</v>
      </c>
      <c r="G770" t="s">
        <v>52</v>
      </c>
      <c r="H770" t="s">
        <v>243</v>
      </c>
      <c r="I770" t="s">
        <v>244</v>
      </c>
      <c r="J770" t="s">
        <v>42</v>
      </c>
      <c r="K770" t="s">
        <v>43</v>
      </c>
      <c r="L770" t="s">
        <v>2396</v>
      </c>
      <c r="M770" t="s">
        <v>58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46</v>
      </c>
      <c r="U770" t="s">
        <v>47</v>
      </c>
      <c r="V770" t="str">
        <f t="shared" si="109"/>
        <v>Valid</v>
      </c>
      <c r="W770">
        <f t="shared" si="110"/>
        <v>2</v>
      </c>
      <c r="Y770" t="str">
        <f t="shared" si="111"/>
        <v>OK</v>
      </c>
      <c r="Z770" t="str">
        <f t="shared" si="112"/>
        <v>OK</v>
      </c>
      <c r="AA770" t="str">
        <f t="shared" si="113"/>
        <v>OK</v>
      </c>
      <c r="AB770" t="str">
        <f t="shared" si="114"/>
        <v>Valid</v>
      </c>
      <c r="AC770" t="str">
        <f>IF(OR(AB770="Invalid Discount",V770="Invalid Shipping"),
"Invalid",
IF(OR(Y770="Missing Region",
Z770="Missing Ship Mode",
AA770="Missing Discount",
X770="Flagged for Review"),
"Warning",
"Clean"))</f>
        <v>Clean</v>
      </c>
      <c r="AD770">
        <f t="shared" si="115"/>
        <v>0.1</v>
      </c>
      <c r="AE770">
        <f>N770*O770*(1-AD770)</f>
        <v>14554.08</v>
      </c>
      <c r="AF770">
        <f>AE770-R770</f>
        <v>3387.24</v>
      </c>
      <c r="AG770" s="3">
        <f t="shared" si="116"/>
        <v>0.23273473830018798</v>
      </c>
      <c r="AH770" t="str">
        <f t="shared" si="117"/>
        <v>April</v>
      </c>
      <c r="AI770">
        <f t="shared" si="118"/>
        <v>2025</v>
      </c>
    </row>
    <row r="771" spans="1:35">
      <c r="A771" t="s">
        <v>2397</v>
      </c>
      <c r="B771" s="2">
        <v>45423</v>
      </c>
      <c r="C771" s="2">
        <v>45425</v>
      </c>
      <c r="D771" t="s">
        <v>2398</v>
      </c>
      <c r="E771" t="s">
        <v>128</v>
      </c>
      <c r="F771" t="s">
        <v>109</v>
      </c>
      <c r="G771" t="s">
        <v>77</v>
      </c>
      <c r="H771" t="s">
        <v>204</v>
      </c>
      <c r="I771" t="s">
        <v>205</v>
      </c>
      <c r="J771" t="s">
        <v>55</v>
      </c>
      <c r="K771" t="s">
        <v>172</v>
      </c>
      <c r="L771" t="s">
        <v>2399</v>
      </c>
      <c r="M771" t="s">
        <v>58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46</v>
      </c>
      <c r="U771" t="s">
        <v>47</v>
      </c>
      <c r="V771" t="str">
        <f t="shared" ref="V771:V834" si="119">IF(C771&lt;B771,"Invalid Shipping","Valid")</f>
        <v>Valid</v>
      </c>
      <c r="W771">
        <f t="shared" ref="W771:W834" si="120">C771-B771</f>
        <v>2</v>
      </c>
      <c r="Y771" t="str">
        <f t="shared" ref="Y771:Y834" si="121">IF(G771="Unknown","Missing Region","OK")</f>
        <v>OK</v>
      </c>
      <c r="Z771" t="str">
        <f t="shared" ref="Z771:Z834" si="122">IF(M771="Unknown","Missing Ship Mode","OK")</f>
        <v>OK</v>
      </c>
      <c r="AA771" t="str">
        <f t="shared" ref="AA771:AA834" si="123">IF(P771="","Missing Discount","OK")</f>
        <v>OK</v>
      </c>
      <c r="AB771" t="str">
        <f t="shared" ref="AB771:AB834" si="124">IF(OR(P771&lt;0,P771&gt;1),"Invalid Discount","Valid")</f>
        <v>Valid</v>
      </c>
      <c r="AC771" t="str">
        <f>IF(OR(AB771="Invalid Discount",V771="Invalid Shipping"),
"Invalid",
IF(OR(Y771="Missing Region",
Z771="Missing Ship Mode",
AA771="Missing Discount",
X771="Flagged for Review"),
"Warning",
"Clean"))</f>
        <v>Clean</v>
      </c>
      <c r="AD771">
        <f t="shared" ref="AD771:AD834" si="125">IF(P771="",0,P771)</f>
        <v>0.25</v>
      </c>
      <c r="AE771">
        <f>N771*O771*(1-AD771)</f>
        <v>8128.6875</v>
      </c>
      <c r="AF771">
        <f>AE771-R771</f>
        <v>3057.0275000000001</v>
      </c>
      <c r="AG771" s="3">
        <f t="shared" ref="AG771:AG834" si="126">IF(AE771=0,0,AF771/AE771)</f>
        <v>0.3760788565189645</v>
      </c>
      <c r="AH771" t="str">
        <f t="shared" ref="AH771:AH834" si="127">TEXT(B771,"mmmm")</f>
        <v>May</v>
      </c>
      <c r="AI771">
        <f t="shared" ref="AI771:AI834" si="128">YEAR(B771)</f>
        <v>2024</v>
      </c>
    </row>
    <row r="772" spans="1:35">
      <c r="A772" t="s">
        <v>2400</v>
      </c>
      <c r="B772" s="2">
        <v>45337</v>
      </c>
      <c r="C772" s="2">
        <v>45339</v>
      </c>
      <c r="D772" t="s">
        <v>2401</v>
      </c>
      <c r="E772" t="s">
        <v>93</v>
      </c>
      <c r="F772" t="s">
        <v>38</v>
      </c>
      <c r="G772" t="s">
        <v>39</v>
      </c>
      <c r="H772" t="s">
        <v>150</v>
      </c>
      <c r="I772" t="s">
        <v>151</v>
      </c>
      <c r="J772" t="s">
        <v>88</v>
      </c>
      <c r="K772" t="s">
        <v>94</v>
      </c>
      <c r="L772" t="s">
        <v>2402</v>
      </c>
      <c r="M772" t="s">
        <v>64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46</v>
      </c>
      <c r="U772" t="s">
        <v>47</v>
      </c>
      <c r="V772" t="str">
        <f t="shared" si="119"/>
        <v>Valid</v>
      </c>
      <c r="W772">
        <f t="shared" si="120"/>
        <v>2</v>
      </c>
      <c r="Y772" t="str">
        <f t="shared" si="121"/>
        <v>OK</v>
      </c>
      <c r="Z772" t="str">
        <f t="shared" si="122"/>
        <v>OK</v>
      </c>
      <c r="AA772" t="str">
        <f t="shared" si="123"/>
        <v>Missing Discount</v>
      </c>
      <c r="AB772" t="str">
        <f t="shared" si="124"/>
        <v>Valid</v>
      </c>
      <c r="AC772" t="str">
        <f>IF(OR(AB772="Invalid Discount",V772="Invalid Shipping"),
"Invalid",
IF(OR(Y772="Missing Region",
Z772="Missing Ship Mode",
AA772="Missing Discount",
X772="Flagged for Review"),
"Warning",
"Clean"))</f>
        <v>Warning</v>
      </c>
      <c r="AD772">
        <f t="shared" si="125"/>
        <v>0</v>
      </c>
      <c r="AE772">
        <f>N772*O772*(1-AD772)</f>
        <v>3452</v>
      </c>
      <c r="AF772">
        <f>AE772-R772</f>
        <v>1075.3800000000001</v>
      </c>
      <c r="AG772" s="3">
        <f t="shared" si="126"/>
        <v>0.3115237543453071</v>
      </c>
      <c r="AH772" t="str">
        <f t="shared" si="127"/>
        <v>February</v>
      </c>
      <c r="AI772">
        <f t="shared" si="128"/>
        <v>2024</v>
      </c>
    </row>
    <row r="773" spans="1:35">
      <c r="A773" t="s">
        <v>2403</v>
      </c>
      <c r="B773" s="2">
        <v>45485</v>
      </c>
      <c r="C773" s="2">
        <v>45487</v>
      </c>
      <c r="D773" t="s">
        <v>483</v>
      </c>
      <c r="E773" t="s">
        <v>76</v>
      </c>
      <c r="F773" t="s">
        <v>38</v>
      </c>
      <c r="G773" t="s">
        <v>39</v>
      </c>
      <c r="H773" t="s">
        <v>251</v>
      </c>
      <c r="I773" t="s">
        <v>252</v>
      </c>
      <c r="J773" t="s">
        <v>88</v>
      </c>
      <c r="K773" t="s">
        <v>289</v>
      </c>
      <c r="L773" t="s">
        <v>2404</v>
      </c>
      <c r="M773" t="s">
        <v>45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46</v>
      </c>
      <c r="U773" t="s">
        <v>47</v>
      </c>
      <c r="V773" t="str">
        <f t="shared" si="119"/>
        <v>Valid</v>
      </c>
      <c r="W773">
        <f t="shared" si="120"/>
        <v>2</v>
      </c>
      <c r="Y773" t="str">
        <f t="shared" si="121"/>
        <v>OK</v>
      </c>
      <c r="Z773" t="str">
        <f t="shared" si="122"/>
        <v>OK</v>
      </c>
      <c r="AA773" t="str">
        <f t="shared" si="123"/>
        <v>Missing Discount</v>
      </c>
      <c r="AB773" t="str">
        <f t="shared" si="124"/>
        <v>Valid</v>
      </c>
      <c r="AC773" t="str">
        <f>IF(OR(AB773="Invalid Discount",V773="Invalid Shipping"),
"Invalid",
IF(OR(Y773="Missing Region",
Z773="Missing Ship Mode",
AA773="Missing Discount",
X773="Flagged for Review"),
"Warning",
"Clean"))</f>
        <v>Warning</v>
      </c>
      <c r="AD773">
        <f t="shared" si="125"/>
        <v>0</v>
      </c>
      <c r="AE773">
        <f>N773*O773*(1-AD773)</f>
        <v>8525.64</v>
      </c>
      <c r="AF773">
        <f>AE773-R773</f>
        <v>5004.9499999999989</v>
      </c>
      <c r="AG773" s="3">
        <f t="shared" si="126"/>
        <v>0.58704683753946907</v>
      </c>
      <c r="AH773" t="str">
        <f t="shared" si="127"/>
        <v>July</v>
      </c>
      <c r="AI773">
        <f t="shared" si="128"/>
        <v>2024</v>
      </c>
    </row>
    <row r="774" spans="1:35">
      <c r="A774" t="s">
        <v>2405</v>
      </c>
      <c r="B774" s="2">
        <v>45853</v>
      </c>
      <c r="C774" s="2">
        <v>45857</v>
      </c>
      <c r="D774" t="s">
        <v>2406</v>
      </c>
      <c r="E774" t="s">
        <v>176</v>
      </c>
      <c r="F774" t="s">
        <v>38</v>
      </c>
      <c r="G774" t="s">
        <v>68</v>
      </c>
      <c r="H774" t="s">
        <v>262</v>
      </c>
      <c r="I774" t="s">
        <v>263</v>
      </c>
      <c r="J774" t="s">
        <v>55</v>
      </c>
      <c r="K774" t="s">
        <v>80</v>
      </c>
      <c r="L774" t="s">
        <v>2407</v>
      </c>
      <c r="M774" t="s">
        <v>58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125</v>
      </c>
      <c r="U774" t="s">
        <v>82</v>
      </c>
      <c r="V774" t="str">
        <f t="shared" si="119"/>
        <v>Valid</v>
      </c>
      <c r="W774">
        <f t="shared" si="120"/>
        <v>4</v>
      </c>
      <c r="Y774" t="str">
        <f t="shared" si="121"/>
        <v>OK</v>
      </c>
      <c r="Z774" t="str">
        <f t="shared" si="122"/>
        <v>OK</v>
      </c>
      <c r="AA774" t="str">
        <f t="shared" si="123"/>
        <v>OK</v>
      </c>
      <c r="AB774" t="str">
        <f t="shared" si="124"/>
        <v>Valid</v>
      </c>
      <c r="AC774" t="str">
        <f>IF(OR(AB774="Invalid Discount",V774="Invalid Shipping"),
"Invalid",
IF(OR(Y774="Missing Region",
Z774="Missing Ship Mode",
AA774="Missing Discount",
X774="Flagged for Review"),
"Warning",
"Clean"))</f>
        <v>Clean</v>
      </c>
      <c r="AD774">
        <f t="shared" si="125"/>
        <v>0.05</v>
      </c>
      <c r="AE774">
        <f>N774*O774*(1-AD774)</f>
        <v>3708.0589999999997</v>
      </c>
      <c r="AF774">
        <f>AE774-R774</f>
        <v>947.76899999999978</v>
      </c>
      <c r="AG774" s="3">
        <f t="shared" si="126"/>
        <v>0.25559706574248142</v>
      </c>
      <c r="AH774" t="str">
        <f t="shared" si="127"/>
        <v>July</v>
      </c>
      <c r="AI774">
        <f t="shared" si="128"/>
        <v>2025</v>
      </c>
    </row>
    <row r="775" spans="1:35">
      <c r="A775" t="s">
        <v>2408</v>
      </c>
      <c r="B775" s="2">
        <v>45709</v>
      </c>
      <c r="C775" s="2">
        <v>45709</v>
      </c>
      <c r="D775" t="s">
        <v>2409</v>
      </c>
      <c r="E775" t="s">
        <v>37</v>
      </c>
      <c r="F775" t="s">
        <v>109</v>
      </c>
      <c r="G775" t="s">
        <v>77</v>
      </c>
      <c r="H775" t="s">
        <v>194</v>
      </c>
      <c r="I775" t="s">
        <v>195</v>
      </c>
      <c r="J775" t="s">
        <v>88</v>
      </c>
      <c r="K775" t="s">
        <v>185</v>
      </c>
      <c r="L775" t="s">
        <v>2410</v>
      </c>
      <c r="M775" t="s">
        <v>219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46</v>
      </c>
      <c r="U775" t="s">
        <v>47</v>
      </c>
      <c r="V775" t="str">
        <f t="shared" si="119"/>
        <v>Valid</v>
      </c>
      <c r="W775">
        <f t="shared" si="120"/>
        <v>0</v>
      </c>
      <c r="Y775" t="str">
        <f t="shared" si="121"/>
        <v>OK</v>
      </c>
      <c r="Z775" t="str">
        <f t="shared" si="122"/>
        <v>Missing Ship Mode</v>
      </c>
      <c r="AA775" t="str">
        <f t="shared" si="123"/>
        <v>OK</v>
      </c>
      <c r="AB775" t="str">
        <f t="shared" si="124"/>
        <v>Valid</v>
      </c>
      <c r="AC775" t="str">
        <f>IF(OR(AB775="Invalid Discount",V775="Invalid Shipping"),
"Invalid",
IF(OR(Y775="Missing Region",
Z775="Missing Ship Mode",
AA775="Missing Discount",
X775="Flagged for Review"),
"Warning",
"Clean"))</f>
        <v>Warning</v>
      </c>
      <c r="AD775">
        <f t="shared" si="125"/>
        <v>0.2</v>
      </c>
      <c r="AE775">
        <f>N775*O775*(1-AD775)</f>
        <v>9424.2240000000002</v>
      </c>
      <c r="AF775">
        <f>AE775-R775</f>
        <v>3245.3040000000001</v>
      </c>
      <c r="AG775" s="3">
        <f t="shared" si="126"/>
        <v>0.3443576892909167</v>
      </c>
      <c r="AH775" t="str">
        <f t="shared" si="127"/>
        <v>February</v>
      </c>
      <c r="AI775">
        <f t="shared" si="128"/>
        <v>2025</v>
      </c>
    </row>
    <row r="776" spans="1:35">
      <c r="A776" t="s">
        <v>2411</v>
      </c>
      <c r="B776" s="2">
        <v>45876</v>
      </c>
      <c r="C776" s="2">
        <v>45876</v>
      </c>
      <c r="D776" t="s">
        <v>2412</v>
      </c>
      <c r="E776" t="s">
        <v>279</v>
      </c>
      <c r="F776" t="s">
        <v>38</v>
      </c>
      <c r="G776" t="s">
        <v>77</v>
      </c>
      <c r="H776" t="s">
        <v>40</v>
      </c>
      <c r="I776" t="s">
        <v>123</v>
      </c>
      <c r="J776" t="s">
        <v>88</v>
      </c>
      <c r="K776" t="s">
        <v>289</v>
      </c>
      <c r="L776" t="s">
        <v>2413</v>
      </c>
      <c r="M776" t="s">
        <v>219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46</v>
      </c>
      <c r="U776" t="s">
        <v>47</v>
      </c>
      <c r="V776" t="str">
        <f t="shared" si="119"/>
        <v>Valid</v>
      </c>
      <c r="W776">
        <f t="shared" si="120"/>
        <v>0</v>
      </c>
      <c r="Y776" t="str">
        <f t="shared" si="121"/>
        <v>OK</v>
      </c>
      <c r="Z776" t="str">
        <f t="shared" si="122"/>
        <v>Missing Ship Mode</v>
      </c>
      <c r="AA776" t="str">
        <f t="shared" si="123"/>
        <v>OK</v>
      </c>
      <c r="AB776" t="str">
        <f t="shared" si="124"/>
        <v>Valid</v>
      </c>
      <c r="AC776" t="str">
        <f>IF(OR(AB776="Invalid Discount",V776="Invalid Shipping"),
"Invalid",
IF(OR(Y776="Missing Region",
Z776="Missing Ship Mode",
AA776="Missing Discount",
X776="Flagged for Review"),
"Warning",
"Clean"))</f>
        <v>Warning</v>
      </c>
      <c r="AD776">
        <f t="shared" si="125"/>
        <v>0.2</v>
      </c>
      <c r="AE776">
        <f>N776*O776*(1-AD776)</f>
        <v>7752.6</v>
      </c>
      <c r="AF776">
        <f>AE776-R776</f>
        <v>3063.3</v>
      </c>
      <c r="AG776" s="3">
        <f t="shared" si="126"/>
        <v>0.39513195573098059</v>
      </c>
      <c r="AH776" t="str">
        <f t="shared" si="127"/>
        <v>August</v>
      </c>
      <c r="AI776">
        <f t="shared" si="128"/>
        <v>2025</v>
      </c>
    </row>
    <row r="777" spans="1:35">
      <c r="A777" t="s">
        <v>2414</v>
      </c>
      <c r="B777" s="2">
        <v>45396</v>
      </c>
      <c r="C777" s="2">
        <v>45404</v>
      </c>
      <c r="D777" t="s">
        <v>2415</v>
      </c>
      <c r="E777" t="s">
        <v>67</v>
      </c>
      <c r="F777" t="s">
        <v>38</v>
      </c>
      <c r="G777" t="s">
        <v>39</v>
      </c>
      <c r="H777" t="s">
        <v>251</v>
      </c>
      <c r="I777" t="s">
        <v>252</v>
      </c>
      <c r="J777" t="s">
        <v>88</v>
      </c>
      <c r="K777" t="s">
        <v>89</v>
      </c>
      <c r="L777" t="s">
        <v>2416</v>
      </c>
      <c r="M777" t="s">
        <v>73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46</v>
      </c>
      <c r="U777" t="s">
        <v>47</v>
      </c>
      <c r="V777" t="str">
        <f t="shared" si="119"/>
        <v>Valid</v>
      </c>
      <c r="W777">
        <f t="shared" si="120"/>
        <v>8</v>
      </c>
      <c r="Y777" t="str">
        <f t="shared" si="121"/>
        <v>OK</v>
      </c>
      <c r="Z777" t="str">
        <f t="shared" si="122"/>
        <v>OK</v>
      </c>
      <c r="AA777" t="str">
        <f t="shared" si="123"/>
        <v>OK</v>
      </c>
      <c r="AB777" t="str">
        <f t="shared" si="124"/>
        <v>Valid</v>
      </c>
      <c r="AC777" t="str">
        <f>IF(OR(AB777="Invalid Discount",V777="Invalid Shipping"),
"Invalid",
IF(OR(Y777="Missing Region",
Z777="Missing Ship Mode",
AA777="Missing Discount",
X777="Flagged for Review"),
"Warning",
"Clean"))</f>
        <v>Clean</v>
      </c>
      <c r="AD777">
        <f t="shared" si="125"/>
        <v>0.25</v>
      </c>
      <c r="AE777">
        <f>N777*O777*(1-AD777)</f>
        <v>23736.720000000001</v>
      </c>
      <c r="AF777">
        <f>AE777-R777</f>
        <v>9845.8200000000015</v>
      </c>
      <c r="AG777" s="3">
        <f t="shared" si="126"/>
        <v>0.41479277676106896</v>
      </c>
      <c r="AH777" t="str">
        <f t="shared" si="127"/>
        <v>April</v>
      </c>
      <c r="AI777">
        <f t="shared" si="128"/>
        <v>2024</v>
      </c>
    </row>
    <row r="778" spans="1:35">
      <c r="A778" t="s">
        <v>2417</v>
      </c>
      <c r="B778" s="2">
        <v>45816</v>
      </c>
      <c r="C778" s="2">
        <v>45821</v>
      </c>
      <c r="D778" t="s">
        <v>2418</v>
      </c>
      <c r="E778" t="s">
        <v>103</v>
      </c>
      <c r="F778" t="s">
        <v>51</v>
      </c>
      <c r="G778" t="s">
        <v>39</v>
      </c>
      <c r="H778" t="s">
        <v>40</v>
      </c>
      <c r="I778" t="s">
        <v>41</v>
      </c>
      <c r="J778" t="s">
        <v>88</v>
      </c>
      <c r="K778" t="s">
        <v>94</v>
      </c>
      <c r="L778" t="s">
        <v>2419</v>
      </c>
      <c r="M778" t="s">
        <v>45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46</v>
      </c>
      <c r="U778" t="s">
        <v>47</v>
      </c>
      <c r="V778" t="str">
        <f t="shared" si="119"/>
        <v>Valid</v>
      </c>
      <c r="W778">
        <f t="shared" si="120"/>
        <v>5</v>
      </c>
      <c r="Y778" t="str">
        <f t="shared" si="121"/>
        <v>OK</v>
      </c>
      <c r="Z778" t="str">
        <f t="shared" si="122"/>
        <v>OK</v>
      </c>
      <c r="AA778" t="str">
        <f t="shared" si="123"/>
        <v>OK</v>
      </c>
      <c r="AB778" t="str">
        <f t="shared" si="124"/>
        <v>Valid</v>
      </c>
      <c r="AC778" t="str">
        <f>IF(OR(AB778="Invalid Discount",V778="Invalid Shipping"),
"Invalid",
IF(OR(Y778="Missing Region",
Z778="Missing Ship Mode",
AA778="Missing Discount",
X778="Flagged for Review"),
"Warning",
"Clean"))</f>
        <v>Clean</v>
      </c>
      <c r="AD778">
        <f t="shared" si="125"/>
        <v>0</v>
      </c>
      <c r="AE778">
        <f>N778*O778*(1-AD778)</f>
        <v>26999.91</v>
      </c>
      <c r="AF778">
        <f>AE778-R778</f>
        <v>9183.93</v>
      </c>
      <c r="AG778" s="3">
        <f t="shared" si="126"/>
        <v>0.34014668937785347</v>
      </c>
      <c r="AH778" t="str">
        <f t="shared" si="127"/>
        <v>June</v>
      </c>
      <c r="AI778">
        <f t="shared" si="128"/>
        <v>2025</v>
      </c>
    </row>
    <row r="779" spans="1:35">
      <c r="A779" t="s">
        <v>2420</v>
      </c>
      <c r="B779" s="2">
        <v>45326</v>
      </c>
      <c r="C779" s="2">
        <v>45328</v>
      </c>
      <c r="D779" t="s">
        <v>2421</v>
      </c>
      <c r="E779" t="s">
        <v>279</v>
      </c>
      <c r="F779" t="s">
        <v>51</v>
      </c>
      <c r="G779" t="s">
        <v>77</v>
      </c>
      <c r="H779" t="s">
        <v>86</v>
      </c>
      <c r="I779" t="s">
        <v>87</v>
      </c>
      <c r="J779" t="s">
        <v>88</v>
      </c>
      <c r="K779" t="s">
        <v>89</v>
      </c>
      <c r="L779" t="s">
        <v>2422</v>
      </c>
      <c r="M779" t="s">
        <v>45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169</v>
      </c>
      <c r="U779" t="s">
        <v>82</v>
      </c>
      <c r="V779" t="str">
        <f t="shared" si="119"/>
        <v>Valid</v>
      </c>
      <c r="W779">
        <f t="shared" si="120"/>
        <v>2</v>
      </c>
      <c r="Y779" t="str">
        <f t="shared" si="121"/>
        <v>OK</v>
      </c>
      <c r="Z779" t="str">
        <f t="shared" si="122"/>
        <v>OK</v>
      </c>
      <c r="AA779" t="str">
        <f t="shared" si="123"/>
        <v>OK</v>
      </c>
      <c r="AB779" t="str">
        <f t="shared" si="124"/>
        <v>Valid</v>
      </c>
      <c r="AC779" t="str">
        <f>IF(OR(AB779="Invalid Discount",V779="Invalid Shipping"),
"Invalid",
IF(OR(Y779="Missing Region",
Z779="Missing Ship Mode",
AA779="Missing Discount",
X779="Flagged for Review"),
"Warning",
"Clean"))</f>
        <v>Clean</v>
      </c>
      <c r="AD779">
        <f t="shared" si="125"/>
        <v>0.15</v>
      </c>
      <c r="AE779">
        <f>N779*O779*(1-AD779)</f>
        <v>5065.116</v>
      </c>
      <c r="AF779">
        <f>AE779-R779</f>
        <v>1534.9960000000001</v>
      </c>
      <c r="AG779" s="3">
        <f t="shared" si="126"/>
        <v>0.30305248685321323</v>
      </c>
      <c r="AH779" t="str">
        <f t="shared" si="127"/>
        <v>February</v>
      </c>
      <c r="AI779">
        <f t="shared" si="128"/>
        <v>2024</v>
      </c>
    </row>
    <row r="780" spans="1:35">
      <c r="A780" t="s">
        <v>2423</v>
      </c>
      <c r="B780" s="2">
        <v>45497</v>
      </c>
      <c r="C780" s="2">
        <v>45497</v>
      </c>
      <c r="D780" t="s">
        <v>2424</v>
      </c>
      <c r="E780" t="s">
        <v>37</v>
      </c>
      <c r="F780" t="s">
        <v>51</v>
      </c>
      <c r="G780" t="s">
        <v>39</v>
      </c>
      <c r="H780" t="s">
        <v>251</v>
      </c>
      <c r="I780" t="s">
        <v>252</v>
      </c>
      <c r="J780" t="s">
        <v>88</v>
      </c>
      <c r="K780" t="s">
        <v>94</v>
      </c>
      <c r="L780" t="s">
        <v>2425</v>
      </c>
      <c r="M780" t="s">
        <v>45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46</v>
      </c>
      <c r="U780" t="s">
        <v>47</v>
      </c>
      <c r="V780" t="str">
        <f t="shared" si="119"/>
        <v>Valid</v>
      </c>
      <c r="W780">
        <f t="shared" si="120"/>
        <v>0</v>
      </c>
      <c r="Y780" t="str">
        <f t="shared" si="121"/>
        <v>OK</v>
      </c>
      <c r="Z780" t="str">
        <f t="shared" si="122"/>
        <v>OK</v>
      </c>
      <c r="AA780" t="str">
        <f t="shared" si="123"/>
        <v>OK</v>
      </c>
      <c r="AB780" t="str">
        <f t="shared" si="124"/>
        <v>Valid</v>
      </c>
      <c r="AC780" t="str">
        <f>IF(OR(AB780="Invalid Discount",V780="Invalid Shipping"),
"Invalid",
IF(OR(Y780="Missing Region",
Z780="Missing Ship Mode",
AA780="Missing Discount",
X780="Flagged for Review"),
"Warning",
"Clean"))</f>
        <v>Clean</v>
      </c>
      <c r="AD780">
        <f t="shared" si="125"/>
        <v>0</v>
      </c>
      <c r="AE780">
        <f>N780*O780*(1-AD780)</f>
        <v>6707.52</v>
      </c>
      <c r="AF780">
        <f>AE780-R780</f>
        <v>1034.9500000000007</v>
      </c>
      <c r="AG780" s="3">
        <f t="shared" si="126"/>
        <v>0.15429696817899918</v>
      </c>
      <c r="AH780" t="str">
        <f t="shared" si="127"/>
        <v>July</v>
      </c>
      <c r="AI780">
        <f t="shared" si="128"/>
        <v>2024</v>
      </c>
    </row>
    <row r="781" spans="1:35">
      <c r="A781" t="s">
        <v>2426</v>
      </c>
      <c r="B781" s="2">
        <v>45306</v>
      </c>
      <c r="C781" s="2">
        <v>45311</v>
      </c>
      <c r="D781" t="s">
        <v>2427</v>
      </c>
      <c r="E781" t="s">
        <v>128</v>
      </c>
      <c r="F781" t="s">
        <v>51</v>
      </c>
      <c r="G781" t="s">
        <v>68</v>
      </c>
      <c r="H781" t="s">
        <v>98</v>
      </c>
      <c r="I781" t="s">
        <v>99</v>
      </c>
      <c r="J781" t="s">
        <v>55</v>
      </c>
      <c r="K781" t="s">
        <v>80</v>
      </c>
      <c r="L781" t="s">
        <v>2428</v>
      </c>
      <c r="M781" t="s">
        <v>73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46</v>
      </c>
      <c r="U781" t="s">
        <v>47</v>
      </c>
      <c r="V781" t="str">
        <f t="shared" si="119"/>
        <v>Valid</v>
      </c>
      <c r="W781">
        <f t="shared" si="120"/>
        <v>5</v>
      </c>
      <c r="Y781" t="str">
        <f t="shared" si="121"/>
        <v>OK</v>
      </c>
      <c r="Z781" t="str">
        <f t="shared" si="122"/>
        <v>OK</v>
      </c>
      <c r="AA781" t="str">
        <f t="shared" si="123"/>
        <v>OK</v>
      </c>
      <c r="AB781" t="str">
        <f t="shared" si="124"/>
        <v>Valid</v>
      </c>
      <c r="AC781" t="str">
        <f>IF(OR(AB781="Invalid Discount",V781="Invalid Shipping"),
"Invalid",
IF(OR(Y781="Missing Region",
Z781="Missing Ship Mode",
AA781="Missing Discount",
X781="Flagged for Review"),
"Warning",
"Clean"))</f>
        <v>Clean</v>
      </c>
      <c r="AD781">
        <f t="shared" si="125"/>
        <v>0.05</v>
      </c>
      <c r="AE781">
        <f>N781*O781*(1-AD781)</f>
        <v>11983.451999999999</v>
      </c>
      <c r="AF781">
        <f>AE781-R781</f>
        <v>3410.5519999999997</v>
      </c>
      <c r="AG781" s="3">
        <f t="shared" si="126"/>
        <v>0.2846051371507976</v>
      </c>
      <c r="AH781" t="str">
        <f t="shared" si="127"/>
        <v>January</v>
      </c>
      <c r="AI781">
        <f t="shared" si="128"/>
        <v>2024</v>
      </c>
    </row>
    <row r="782" spans="1:35">
      <c r="A782" t="s">
        <v>2429</v>
      </c>
      <c r="B782" s="2">
        <v>45508</v>
      </c>
      <c r="C782" s="2">
        <v>45514</v>
      </c>
      <c r="D782" t="s">
        <v>2430</v>
      </c>
      <c r="E782" t="s">
        <v>176</v>
      </c>
      <c r="F782" t="s">
        <v>51</v>
      </c>
      <c r="G782" t="s">
        <v>77</v>
      </c>
      <c r="H782" t="s">
        <v>40</v>
      </c>
      <c r="I782" t="s">
        <v>123</v>
      </c>
      <c r="J782" t="s">
        <v>55</v>
      </c>
      <c r="K782" t="s">
        <v>80</v>
      </c>
      <c r="L782" t="s">
        <v>2431</v>
      </c>
      <c r="M782" t="s">
        <v>58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46</v>
      </c>
      <c r="U782" t="s">
        <v>47</v>
      </c>
      <c r="V782" t="str">
        <f t="shared" si="119"/>
        <v>Valid</v>
      </c>
      <c r="W782">
        <f t="shared" si="120"/>
        <v>6</v>
      </c>
      <c r="Y782" t="str">
        <f t="shared" si="121"/>
        <v>OK</v>
      </c>
      <c r="Z782" t="str">
        <f t="shared" si="122"/>
        <v>OK</v>
      </c>
      <c r="AA782" t="str">
        <f t="shared" si="123"/>
        <v>OK</v>
      </c>
      <c r="AB782" t="str">
        <f t="shared" si="124"/>
        <v>Valid</v>
      </c>
      <c r="AC782" t="str">
        <f>IF(OR(AB782="Invalid Discount",V782="Invalid Shipping"),
"Invalid",
IF(OR(Y782="Missing Region",
Z782="Missing Ship Mode",
AA782="Missing Discount",
X782="Flagged for Review"),
"Warning",
"Clean"))</f>
        <v>Clean</v>
      </c>
      <c r="AD782">
        <f t="shared" si="125"/>
        <v>0.2</v>
      </c>
      <c r="AE782">
        <f>N782*O782*(1-AD782)</f>
        <v>1364.576</v>
      </c>
      <c r="AF782">
        <f>AE782-R782</f>
        <v>386.41600000000005</v>
      </c>
      <c r="AG782" s="3">
        <f t="shared" si="126"/>
        <v>0.28317660577351506</v>
      </c>
      <c r="AH782" t="str">
        <f t="shared" si="127"/>
        <v>August</v>
      </c>
      <c r="AI782">
        <f t="shared" si="128"/>
        <v>2024</v>
      </c>
    </row>
    <row r="783" spans="1:35">
      <c r="A783" t="s">
        <v>2432</v>
      </c>
      <c r="B783" s="2">
        <v>45324</v>
      </c>
      <c r="C783" s="2">
        <v>45332</v>
      </c>
      <c r="D783" t="s">
        <v>2433</v>
      </c>
      <c r="E783" t="s">
        <v>37</v>
      </c>
      <c r="F783" t="s">
        <v>109</v>
      </c>
      <c r="G783" t="s">
        <v>77</v>
      </c>
      <c r="H783" t="s">
        <v>40</v>
      </c>
      <c r="I783" t="s">
        <v>123</v>
      </c>
      <c r="J783" t="s">
        <v>42</v>
      </c>
      <c r="K783" t="s">
        <v>105</v>
      </c>
      <c r="L783" t="s">
        <v>2434</v>
      </c>
      <c r="M783" t="s">
        <v>64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125</v>
      </c>
      <c r="U783" t="s">
        <v>117</v>
      </c>
      <c r="V783" t="str">
        <f t="shared" si="119"/>
        <v>Valid</v>
      </c>
      <c r="W783">
        <f t="shared" si="120"/>
        <v>8</v>
      </c>
      <c r="Y783" t="str">
        <f t="shared" si="121"/>
        <v>OK</v>
      </c>
      <c r="Z783" t="str">
        <f t="shared" si="122"/>
        <v>OK</v>
      </c>
      <c r="AA783" t="str">
        <f t="shared" si="123"/>
        <v>OK</v>
      </c>
      <c r="AB783" t="str">
        <f t="shared" si="124"/>
        <v>Valid</v>
      </c>
      <c r="AC783" t="str">
        <f>IF(OR(AB783="Invalid Discount",V783="Invalid Shipping"),
"Invalid",
IF(OR(Y783="Missing Region",
Z783="Missing Ship Mode",
AA783="Missing Discount",
X783="Flagged for Review"),
"Warning",
"Clean"))</f>
        <v>Clean</v>
      </c>
      <c r="AD783">
        <f t="shared" si="125"/>
        <v>0.25</v>
      </c>
      <c r="AE783">
        <f>N783*O783*(1-AD783)</f>
        <v>862.64999999999986</v>
      </c>
      <c r="AF783">
        <f>AE783-R783</f>
        <v>258.91999999999985</v>
      </c>
      <c r="AG783" s="3">
        <f t="shared" si="126"/>
        <v>0.30014490233582553</v>
      </c>
      <c r="AH783" t="str">
        <f t="shared" si="127"/>
        <v>February</v>
      </c>
      <c r="AI783">
        <f t="shared" si="128"/>
        <v>2024</v>
      </c>
    </row>
    <row r="784" spans="1:35">
      <c r="A784" t="s">
        <v>2435</v>
      </c>
      <c r="B784" s="2">
        <v>45730</v>
      </c>
      <c r="C784" s="2">
        <v>45738</v>
      </c>
      <c r="D784" t="s">
        <v>2436</v>
      </c>
      <c r="E784" t="s">
        <v>50</v>
      </c>
      <c r="F784" t="s">
        <v>104</v>
      </c>
      <c r="G784" t="s">
        <v>52</v>
      </c>
      <c r="H784" t="s">
        <v>113</v>
      </c>
      <c r="I784" t="s">
        <v>114</v>
      </c>
      <c r="J784" t="s">
        <v>88</v>
      </c>
      <c r="K784" t="s">
        <v>94</v>
      </c>
      <c r="L784" t="s">
        <v>2437</v>
      </c>
      <c r="M784" t="s">
        <v>73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46</v>
      </c>
      <c r="U784" t="s">
        <v>47</v>
      </c>
      <c r="V784" t="str">
        <f t="shared" si="119"/>
        <v>Valid</v>
      </c>
      <c r="W784">
        <f t="shared" si="120"/>
        <v>8</v>
      </c>
      <c r="Y784" t="str">
        <f t="shared" si="121"/>
        <v>OK</v>
      </c>
      <c r="Z784" t="str">
        <f t="shared" si="122"/>
        <v>OK</v>
      </c>
      <c r="AA784" t="str">
        <f t="shared" si="123"/>
        <v>OK</v>
      </c>
      <c r="AB784" t="str">
        <f t="shared" si="124"/>
        <v>Valid</v>
      </c>
      <c r="AC784" t="str">
        <f>IF(OR(AB784="Invalid Discount",V784="Invalid Shipping"),
"Invalid",
IF(OR(Y784="Missing Region",
Z784="Missing Ship Mode",
AA784="Missing Discount",
X784="Flagged for Review"),
"Warning",
"Clean"))</f>
        <v>Clean</v>
      </c>
      <c r="AD784">
        <f t="shared" si="125"/>
        <v>0.15</v>
      </c>
      <c r="AE784">
        <f>N784*O784*(1-AD784)</f>
        <v>1138.3709999999999</v>
      </c>
      <c r="AF784">
        <f>AE784-R784</f>
        <v>341.03099999999984</v>
      </c>
      <c r="AG784" s="3">
        <f t="shared" si="126"/>
        <v>0.29957808131092578</v>
      </c>
      <c r="AH784" t="str">
        <f t="shared" si="127"/>
        <v>March</v>
      </c>
      <c r="AI784">
        <f t="shared" si="128"/>
        <v>2025</v>
      </c>
    </row>
    <row r="785" spans="1:35">
      <c r="A785" t="s">
        <v>2438</v>
      </c>
      <c r="B785" s="2">
        <v>45450</v>
      </c>
      <c r="C785" s="2">
        <v>45450</v>
      </c>
      <c r="D785" t="s">
        <v>2439</v>
      </c>
      <c r="E785" t="s">
        <v>142</v>
      </c>
      <c r="F785" t="s">
        <v>51</v>
      </c>
      <c r="G785" t="s">
        <v>52</v>
      </c>
      <c r="H785" t="s">
        <v>159</v>
      </c>
      <c r="I785" t="s">
        <v>160</v>
      </c>
      <c r="J785" t="s">
        <v>42</v>
      </c>
      <c r="K785" t="s">
        <v>62</v>
      </c>
      <c r="L785" t="s">
        <v>2440</v>
      </c>
      <c r="M785" t="s">
        <v>45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46</v>
      </c>
      <c r="U785" t="s">
        <v>47</v>
      </c>
      <c r="V785" t="str">
        <f t="shared" si="119"/>
        <v>Valid</v>
      </c>
      <c r="W785">
        <f t="shared" si="120"/>
        <v>0</v>
      </c>
      <c r="Y785" t="str">
        <f t="shared" si="121"/>
        <v>OK</v>
      </c>
      <c r="Z785" t="str">
        <f t="shared" si="122"/>
        <v>OK</v>
      </c>
      <c r="AA785" t="str">
        <f t="shared" si="123"/>
        <v>OK</v>
      </c>
      <c r="AB785" t="str">
        <f t="shared" si="124"/>
        <v>Valid</v>
      </c>
      <c r="AC785" t="str">
        <f>IF(OR(AB785="Invalid Discount",V785="Invalid Shipping"),
"Invalid",
IF(OR(Y785="Missing Region",
Z785="Missing Ship Mode",
AA785="Missing Discount",
X785="Flagged for Review"),
"Warning",
"Clean"))</f>
        <v>Clean</v>
      </c>
      <c r="AD785">
        <f t="shared" si="125"/>
        <v>0.05</v>
      </c>
      <c r="AE785">
        <f>N785*O785*(1-AD785)</f>
        <v>2452.8334999999997</v>
      </c>
      <c r="AF785">
        <f>AE785-R785</f>
        <v>546.13349999999969</v>
      </c>
      <c r="AG785" s="3">
        <f t="shared" si="126"/>
        <v>0.22265412634000625</v>
      </c>
      <c r="AH785" t="str">
        <f t="shared" si="127"/>
        <v>June</v>
      </c>
      <c r="AI785">
        <f t="shared" si="128"/>
        <v>2024</v>
      </c>
    </row>
    <row r="786" spans="1:35">
      <c r="A786" t="s">
        <v>2441</v>
      </c>
      <c r="B786" s="2">
        <v>45934</v>
      </c>
      <c r="C786" s="2">
        <v>45935</v>
      </c>
      <c r="D786" t="s">
        <v>2442</v>
      </c>
      <c r="E786" t="s">
        <v>128</v>
      </c>
      <c r="F786" t="s">
        <v>104</v>
      </c>
      <c r="G786" t="s">
        <v>39</v>
      </c>
      <c r="H786" t="s">
        <v>136</v>
      </c>
      <c r="I786" t="s">
        <v>137</v>
      </c>
      <c r="J786" t="s">
        <v>88</v>
      </c>
      <c r="K786" t="s">
        <v>94</v>
      </c>
      <c r="L786" t="s">
        <v>2443</v>
      </c>
      <c r="M786" t="s">
        <v>64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46</v>
      </c>
      <c r="U786" t="s">
        <v>47</v>
      </c>
      <c r="V786" t="str">
        <f t="shared" si="119"/>
        <v>Valid</v>
      </c>
      <c r="W786">
        <f t="shared" si="120"/>
        <v>1</v>
      </c>
      <c r="Y786" t="str">
        <f t="shared" si="121"/>
        <v>OK</v>
      </c>
      <c r="Z786" t="str">
        <f t="shared" si="122"/>
        <v>OK</v>
      </c>
      <c r="AA786" t="str">
        <f t="shared" si="123"/>
        <v>OK</v>
      </c>
      <c r="AB786" t="str">
        <f t="shared" si="124"/>
        <v>Valid</v>
      </c>
      <c r="AC786" t="str">
        <f>IF(OR(AB786="Invalid Discount",V786="Invalid Shipping"),
"Invalid",
IF(OR(Y786="Missing Region",
Z786="Missing Ship Mode",
AA786="Missing Discount",
X786="Flagged for Review"),
"Warning",
"Clean"))</f>
        <v>Clean</v>
      </c>
      <c r="AD786">
        <f t="shared" si="125"/>
        <v>0.05</v>
      </c>
      <c r="AE786">
        <f>N786*O786*(1-AD786)</f>
        <v>1589.0840000000001</v>
      </c>
      <c r="AF786">
        <f>AE786-R786</f>
        <v>504.42399999999998</v>
      </c>
      <c r="AG786" s="3">
        <f t="shared" si="126"/>
        <v>0.31743067075120002</v>
      </c>
      <c r="AH786" t="str">
        <f t="shared" si="127"/>
        <v>October</v>
      </c>
      <c r="AI786">
        <f t="shared" si="128"/>
        <v>2025</v>
      </c>
    </row>
    <row r="787" spans="1:35">
      <c r="A787" t="s">
        <v>2444</v>
      </c>
      <c r="B787" s="2">
        <v>45435</v>
      </c>
      <c r="C787" s="2">
        <v>45441</v>
      </c>
      <c r="D787" t="s">
        <v>2445</v>
      </c>
      <c r="E787" t="s">
        <v>176</v>
      </c>
      <c r="F787" t="s">
        <v>51</v>
      </c>
      <c r="G787" t="s">
        <v>39</v>
      </c>
      <c r="H787" t="s">
        <v>251</v>
      </c>
      <c r="I787" t="s">
        <v>252</v>
      </c>
      <c r="J787" t="s">
        <v>42</v>
      </c>
      <c r="K787" t="s">
        <v>138</v>
      </c>
      <c r="L787" t="s">
        <v>2446</v>
      </c>
      <c r="M787" t="s">
        <v>58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169</v>
      </c>
      <c r="U787" t="s">
        <v>82</v>
      </c>
      <c r="V787" t="str">
        <f t="shared" si="119"/>
        <v>Valid</v>
      </c>
      <c r="W787">
        <f t="shared" si="120"/>
        <v>6</v>
      </c>
      <c r="Y787" t="str">
        <f t="shared" si="121"/>
        <v>OK</v>
      </c>
      <c r="Z787" t="str">
        <f t="shared" si="122"/>
        <v>OK</v>
      </c>
      <c r="AA787" t="str">
        <f t="shared" si="123"/>
        <v>OK</v>
      </c>
      <c r="AB787" t="str">
        <f t="shared" si="124"/>
        <v>Valid</v>
      </c>
      <c r="AC787" t="str">
        <f>IF(OR(AB787="Invalid Discount",V787="Invalid Shipping"),
"Invalid",
IF(OR(Y787="Missing Region",
Z787="Missing Ship Mode",
AA787="Missing Discount",
X787="Flagged for Review"),
"Warning",
"Clean"))</f>
        <v>Clean</v>
      </c>
      <c r="AD787">
        <f t="shared" si="125"/>
        <v>0.25</v>
      </c>
      <c r="AE787">
        <f>N787*O787*(1-AD787)</f>
        <v>4519.41</v>
      </c>
      <c r="AF787">
        <f>AE787-R787</f>
        <v>1015.25</v>
      </c>
      <c r="AG787" s="3">
        <f t="shared" si="126"/>
        <v>0.22464215461752751</v>
      </c>
      <c r="AH787" t="str">
        <f t="shared" si="127"/>
        <v>May</v>
      </c>
      <c r="AI787">
        <f t="shared" si="128"/>
        <v>2024</v>
      </c>
    </row>
    <row r="788" spans="1:35">
      <c r="A788" t="s">
        <v>2447</v>
      </c>
      <c r="B788" s="2">
        <v>45844</v>
      </c>
      <c r="C788" s="2">
        <v>45846</v>
      </c>
      <c r="D788" t="s">
        <v>2448</v>
      </c>
      <c r="E788" t="s">
        <v>76</v>
      </c>
      <c r="F788" t="s">
        <v>104</v>
      </c>
      <c r="G788" t="s">
        <v>39</v>
      </c>
      <c r="H788" t="s">
        <v>40</v>
      </c>
      <c r="I788" t="s">
        <v>41</v>
      </c>
      <c r="J788" t="s">
        <v>55</v>
      </c>
      <c r="K788" t="s">
        <v>71</v>
      </c>
      <c r="L788" t="s">
        <v>2449</v>
      </c>
      <c r="M788" t="s">
        <v>219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116</v>
      </c>
      <c r="U788" t="s">
        <v>117</v>
      </c>
      <c r="V788" t="str">
        <f t="shared" si="119"/>
        <v>Valid</v>
      </c>
      <c r="W788">
        <f t="shared" si="120"/>
        <v>2</v>
      </c>
      <c r="Y788" t="str">
        <f t="shared" si="121"/>
        <v>OK</v>
      </c>
      <c r="Z788" t="str">
        <f t="shared" si="122"/>
        <v>Missing Ship Mode</v>
      </c>
      <c r="AA788" t="str">
        <f t="shared" si="123"/>
        <v>OK</v>
      </c>
      <c r="AB788" t="str">
        <f t="shared" si="124"/>
        <v>Valid</v>
      </c>
      <c r="AC788" t="str">
        <f>IF(OR(AB788="Invalid Discount",V788="Invalid Shipping"),
"Invalid",
IF(OR(Y788="Missing Region",
Z788="Missing Ship Mode",
AA788="Missing Discount",
X788="Flagged for Review"),
"Warning",
"Clean"))</f>
        <v>Warning</v>
      </c>
      <c r="AD788">
        <f t="shared" si="125"/>
        <v>0.05</v>
      </c>
      <c r="AE788">
        <f>N788*O788*(1-AD788)</f>
        <v>2718.71</v>
      </c>
      <c r="AF788">
        <f>AE788-R788</f>
        <v>653.65999999999985</v>
      </c>
      <c r="AG788" s="3">
        <f t="shared" si="126"/>
        <v>0.24043020403058799</v>
      </c>
      <c r="AH788" t="str">
        <f t="shared" si="127"/>
        <v>July</v>
      </c>
      <c r="AI788">
        <f t="shared" si="128"/>
        <v>2025</v>
      </c>
    </row>
    <row r="789" spans="1:35">
      <c r="A789" t="s">
        <v>2450</v>
      </c>
      <c r="B789" s="2">
        <v>45547</v>
      </c>
      <c r="C789" s="2">
        <v>45553</v>
      </c>
      <c r="D789" t="s">
        <v>2451</v>
      </c>
      <c r="E789" t="s">
        <v>76</v>
      </c>
      <c r="F789" t="s">
        <v>109</v>
      </c>
      <c r="G789" t="s">
        <v>52</v>
      </c>
      <c r="H789" t="s">
        <v>159</v>
      </c>
      <c r="I789" t="s">
        <v>160</v>
      </c>
      <c r="J789" t="s">
        <v>42</v>
      </c>
      <c r="K789" t="s">
        <v>43</v>
      </c>
      <c r="L789" t="s">
        <v>2452</v>
      </c>
      <c r="M789" t="s">
        <v>45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46</v>
      </c>
      <c r="U789" t="s">
        <v>47</v>
      </c>
      <c r="V789" t="str">
        <f t="shared" si="119"/>
        <v>Valid</v>
      </c>
      <c r="W789">
        <f t="shared" si="120"/>
        <v>6</v>
      </c>
      <c r="Y789" t="str">
        <f t="shared" si="121"/>
        <v>OK</v>
      </c>
      <c r="Z789" t="str">
        <f t="shared" si="122"/>
        <v>OK</v>
      </c>
      <c r="AA789" t="str">
        <f t="shared" si="123"/>
        <v>OK</v>
      </c>
      <c r="AB789" t="str">
        <f t="shared" si="124"/>
        <v>Valid</v>
      </c>
      <c r="AC789" t="str">
        <f>IF(OR(AB789="Invalid Discount",V789="Invalid Shipping"),
"Invalid",
IF(OR(Y789="Missing Region",
Z789="Missing Ship Mode",
AA789="Missing Discount",
X789="Flagged for Review"),
"Warning",
"Clean"))</f>
        <v>Clean</v>
      </c>
      <c r="AD789">
        <f t="shared" si="125"/>
        <v>0.05</v>
      </c>
      <c r="AE789">
        <f>N789*O789*(1-AD789)</f>
        <v>7065.6629999999996</v>
      </c>
      <c r="AF789">
        <f>AE789-R789</f>
        <v>2150.3929999999991</v>
      </c>
      <c r="AG789" s="3">
        <f t="shared" si="126"/>
        <v>0.30434412170521002</v>
      </c>
      <c r="AH789" t="str">
        <f t="shared" si="127"/>
        <v>September</v>
      </c>
      <c r="AI789">
        <f t="shared" si="128"/>
        <v>2024</v>
      </c>
    </row>
    <row r="790" spans="1:35">
      <c r="A790" t="s">
        <v>2453</v>
      </c>
      <c r="B790" s="2">
        <v>45505</v>
      </c>
      <c r="C790" s="2">
        <v>45506</v>
      </c>
      <c r="D790" t="s">
        <v>2454</v>
      </c>
      <c r="E790" t="s">
        <v>61</v>
      </c>
      <c r="F790" t="s">
        <v>104</v>
      </c>
      <c r="G790" t="s">
        <v>39</v>
      </c>
      <c r="H790" t="s">
        <v>150</v>
      </c>
      <c r="I790" t="s">
        <v>151</v>
      </c>
      <c r="J790" t="s">
        <v>55</v>
      </c>
      <c r="K790" t="s">
        <v>80</v>
      </c>
      <c r="L790" t="s">
        <v>2455</v>
      </c>
      <c r="M790" t="s">
        <v>73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169</v>
      </c>
      <c r="U790" t="s">
        <v>117</v>
      </c>
      <c r="V790" t="str">
        <f t="shared" si="119"/>
        <v>Valid</v>
      </c>
      <c r="W790">
        <f t="shared" si="120"/>
        <v>1</v>
      </c>
      <c r="Y790" t="str">
        <f t="shared" si="121"/>
        <v>OK</v>
      </c>
      <c r="Z790" t="str">
        <f t="shared" si="122"/>
        <v>OK</v>
      </c>
      <c r="AA790" t="str">
        <f t="shared" si="123"/>
        <v>OK</v>
      </c>
      <c r="AB790" t="str">
        <f t="shared" si="124"/>
        <v>Valid</v>
      </c>
      <c r="AC790" t="str">
        <f>IF(OR(AB790="Invalid Discount",V790="Invalid Shipping"),
"Invalid",
IF(OR(Y790="Missing Region",
Z790="Missing Ship Mode",
AA790="Missing Discount",
X790="Flagged for Review"),
"Warning",
"Clean"))</f>
        <v>Clean</v>
      </c>
      <c r="AD790">
        <f t="shared" si="125"/>
        <v>0.1</v>
      </c>
      <c r="AE790">
        <f>N790*O790*(1-AD790)</f>
        <v>17911.007999999998</v>
      </c>
      <c r="AF790">
        <f>AE790-R790</f>
        <v>6364.9579999999987</v>
      </c>
      <c r="AG790" s="3">
        <f t="shared" si="126"/>
        <v>0.35536570582738836</v>
      </c>
      <c r="AH790" t="str">
        <f t="shared" si="127"/>
        <v>August</v>
      </c>
      <c r="AI790">
        <f t="shared" si="128"/>
        <v>2024</v>
      </c>
    </row>
    <row r="791" spans="1:35">
      <c r="A791" t="s">
        <v>2456</v>
      </c>
      <c r="B791" s="2">
        <v>45723</v>
      </c>
      <c r="C791" s="2">
        <v>45724</v>
      </c>
      <c r="D791" t="s">
        <v>2457</v>
      </c>
      <c r="E791" t="s">
        <v>128</v>
      </c>
      <c r="F791" t="s">
        <v>109</v>
      </c>
      <c r="G791" t="s">
        <v>219</v>
      </c>
      <c r="H791" t="s">
        <v>40</v>
      </c>
      <c r="I791" t="s">
        <v>123</v>
      </c>
      <c r="J791" t="s">
        <v>88</v>
      </c>
      <c r="K791" t="s">
        <v>94</v>
      </c>
      <c r="L791" t="s">
        <v>2458</v>
      </c>
      <c r="M791" t="s">
        <v>58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46</v>
      </c>
      <c r="U791" t="s">
        <v>47</v>
      </c>
      <c r="V791" t="str">
        <f t="shared" si="119"/>
        <v>Valid</v>
      </c>
      <c r="W791">
        <f t="shared" si="120"/>
        <v>1</v>
      </c>
      <c r="Y791" t="str">
        <f t="shared" si="121"/>
        <v>Missing Region</v>
      </c>
      <c r="Z791" t="str">
        <f t="shared" si="122"/>
        <v>OK</v>
      </c>
      <c r="AA791" t="str">
        <f t="shared" si="123"/>
        <v>OK</v>
      </c>
      <c r="AB791" t="str">
        <f t="shared" si="124"/>
        <v>Valid</v>
      </c>
      <c r="AC791" t="str">
        <f>IF(OR(AB791="Invalid Discount",V791="Invalid Shipping"),
"Invalid",
IF(OR(Y791="Missing Region",
Z791="Missing Ship Mode",
AA791="Missing Discount",
X791="Flagged for Review"),
"Warning",
"Clean"))</f>
        <v>Warning</v>
      </c>
      <c r="AD791">
        <f t="shared" si="125"/>
        <v>0</v>
      </c>
      <c r="AE791">
        <f>N791*O791*(1-AD791)</f>
        <v>14149.92</v>
      </c>
      <c r="AF791">
        <f>AE791-R791</f>
        <v>4683.41</v>
      </c>
      <c r="AG791" s="3">
        <f t="shared" si="126"/>
        <v>0.33098491016203624</v>
      </c>
      <c r="AH791" t="str">
        <f t="shared" si="127"/>
        <v>March</v>
      </c>
      <c r="AI791">
        <f t="shared" si="128"/>
        <v>2025</v>
      </c>
    </row>
    <row r="792" spans="1:35">
      <c r="A792" t="s">
        <v>2459</v>
      </c>
      <c r="B792" s="2">
        <v>45443</v>
      </c>
      <c r="C792" s="2">
        <v>45445</v>
      </c>
      <c r="D792" t="s">
        <v>2460</v>
      </c>
      <c r="E792" t="s">
        <v>132</v>
      </c>
      <c r="F792" t="s">
        <v>104</v>
      </c>
      <c r="G792" t="s">
        <v>68</v>
      </c>
      <c r="H792" t="s">
        <v>98</v>
      </c>
      <c r="I792" t="s">
        <v>99</v>
      </c>
      <c r="J792" t="s">
        <v>42</v>
      </c>
      <c r="K792" t="s">
        <v>62</v>
      </c>
      <c r="L792" t="s">
        <v>2461</v>
      </c>
      <c r="M792" t="s">
        <v>73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46</v>
      </c>
      <c r="U792" t="s">
        <v>47</v>
      </c>
      <c r="V792" t="str">
        <f t="shared" si="119"/>
        <v>Valid</v>
      </c>
      <c r="W792">
        <f t="shared" si="120"/>
        <v>2</v>
      </c>
      <c r="Y792" t="str">
        <f t="shared" si="121"/>
        <v>OK</v>
      </c>
      <c r="Z792" t="str">
        <f t="shared" si="122"/>
        <v>OK</v>
      </c>
      <c r="AA792" t="str">
        <f t="shared" si="123"/>
        <v>OK</v>
      </c>
      <c r="AB792" t="str">
        <f t="shared" si="124"/>
        <v>Valid</v>
      </c>
      <c r="AC792" t="str">
        <f>IF(OR(AB792="Invalid Discount",V792="Invalid Shipping"),
"Invalid",
IF(OR(Y792="Missing Region",
Z792="Missing Ship Mode",
AA792="Missing Discount",
X792="Flagged for Review"),
"Warning",
"Clean"))</f>
        <v>Clean</v>
      </c>
      <c r="AD792">
        <f t="shared" si="125"/>
        <v>0.2</v>
      </c>
      <c r="AE792">
        <f>N792*O792*(1-AD792)</f>
        <v>4272.576</v>
      </c>
      <c r="AF792">
        <f>AE792-R792</f>
        <v>943.65599999999995</v>
      </c>
      <c r="AG792" s="3">
        <f t="shared" si="126"/>
        <v>0.22086347908147214</v>
      </c>
      <c r="AH792" t="str">
        <f t="shared" si="127"/>
        <v>May</v>
      </c>
      <c r="AI792">
        <f t="shared" si="128"/>
        <v>2024</v>
      </c>
    </row>
    <row r="793" spans="1:35">
      <c r="A793" t="s">
        <v>2462</v>
      </c>
      <c r="B793" s="2">
        <v>45567</v>
      </c>
      <c r="C793" s="2">
        <v>45571</v>
      </c>
      <c r="D793" t="s">
        <v>2463</v>
      </c>
      <c r="E793" t="s">
        <v>132</v>
      </c>
      <c r="F793" t="s">
        <v>109</v>
      </c>
      <c r="G793" t="s">
        <v>68</v>
      </c>
      <c r="H793" t="s">
        <v>189</v>
      </c>
      <c r="I793" t="s">
        <v>190</v>
      </c>
      <c r="J793" t="s">
        <v>55</v>
      </c>
      <c r="K793" t="s">
        <v>172</v>
      </c>
      <c r="L793" t="s">
        <v>2464</v>
      </c>
      <c r="M793" t="s">
        <v>58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46</v>
      </c>
      <c r="U793" t="s">
        <v>47</v>
      </c>
      <c r="V793" t="str">
        <f t="shared" si="119"/>
        <v>Valid</v>
      </c>
      <c r="W793">
        <f t="shared" si="120"/>
        <v>4</v>
      </c>
      <c r="Y793" t="str">
        <f t="shared" si="121"/>
        <v>OK</v>
      </c>
      <c r="Z793" t="str">
        <f t="shared" si="122"/>
        <v>OK</v>
      </c>
      <c r="AA793" t="str">
        <f t="shared" si="123"/>
        <v>OK</v>
      </c>
      <c r="AB793" t="str">
        <f t="shared" si="124"/>
        <v>Valid</v>
      </c>
      <c r="AC793" t="str">
        <f>IF(OR(AB793="Invalid Discount",V793="Invalid Shipping"),
"Invalid",
IF(OR(Y793="Missing Region",
Z793="Missing Ship Mode",
AA793="Missing Discount",
X793="Flagged for Review"),
"Warning",
"Clean"))</f>
        <v>Clean</v>
      </c>
      <c r="AD793">
        <f t="shared" si="125"/>
        <v>0.25</v>
      </c>
      <c r="AE793">
        <f>N793*O793*(1-AD793)</f>
        <v>9352.619999999999</v>
      </c>
      <c r="AF793">
        <f>AE793-R793</f>
        <v>4083.2099999999991</v>
      </c>
      <c r="AG793" s="3">
        <f t="shared" si="126"/>
        <v>0.43658461479243243</v>
      </c>
      <c r="AH793" t="str">
        <f t="shared" si="127"/>
        <v>October</v>
      </c>
      <c r="AI793">
        <f t="shared" si="128"/>
        <v>2024</v>
      </c>
    </row>
    <row r="794" spans="1:35">
      <c r="A794" t="s">
        <v>2465</v>
      </c>
      <c r="B794" s="2">
        <v>45812</v>
      </c>
      <c r="C794" s="2">
        <v>45816</v>
      </c>
      <c r="D794" t="s">
        <v>2466</v>
      </c>
      <c r="E794" t="s">
        <v>67</v>
      </c>
      <c r="F794" t="s">
        <v>51</v>
      </c>
      <c r="G794" t="s">
        <v>52</v>
      </c>
      <c r="H794" t="s">
        <v>180</v>
      </c>
      <c r="I794" t="s">
        <v>181</v>
      </c>
      <c r="J794" t="s">
        <v>55</v>
      </c>
      <c r="K794" t="s">
        <v>71</v>
      </c>
      <c r="L794" t="s">
        <v>2467</v>
      </c>
      <c r="M794" t="s">
        <v>45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46</v>
      </c>
      <c r="U794" t="s">
        <v>117</v>
      </c>
      <c r="V794" t="str">
        <f t="shared" si="119"/>
        <v>Valid</v>
      </c>
      <c r="W794">
        <f t="shared" si="120"/>
        <v>4</v>
      </c>
      <c r="Y794" t="str">
        <f t="shared" si="121"/>
        <v>OK</v>
      </c>
      <c r="Z794" t="str">
        <f t="shared" si="122"/>
        <v>OK</v>
      </c>
      <c r="AA794" t="str">
        <f t="shared" si="123"/>
        <v>OK</v>
      </c>
      <c r="AB794" t="str">
        <f t="shared" si="124"/>
        <v>Valid</v>
      </c>
      <c r="AC794" t="str">
        <f>IF(OR(AB794="Invalid Discount",V794="Invalid Shipping"),
"Invalid",
IF(OR(Y794="Missing Region",
Z794="Missing Ship Mode",
AA794="Missing Discount",
X794="Flagged for Review"),
"Warning",
"Clean"))</f>
        <v>Clean</v>
      </c>
      <c r="AD794">
        <f t="shared" si="125"/>
        <v>0.2</v>
      </c>
      <c r="AE794">
        <f>N794*O794*(1-AD794)</f>
        <v>2800.8960000000002</v>
      </c>
      <c r="AF794">
        <f>AE794-R794</f>
        <v>1064.9160000000002</v>
      </c>
      <c r="AG794" s="3">
        <f t="shared" si="126"/>
        <v>0.38020547710446945</v>
      </c>
      <c r="AH794" t="str">
        <f t="shared" si="127"/>
        <v>June</v>
      </c>
      <c r="AI794">
        <f t="shared" si="128"/>
        <v>2025</v>
      </c>
    </row>
    <row r="795" spans="1:35">
      <c r="A795" t="s">
        <v>2468</v>
      </c>
      <c r="B795" s="2">
        <v>45440</v>
      </c>
      <c r="C795" s="2">
        <v>45446</v>
      </c>
      <c r="D795" t="s">
        <v>2469</v>
      </c>
      <c r="E795" t="s">
        <v>85</v>
      </c>
      <c r="F795" t="s">
        <v>104</v>
      </c>
      <c r="G795" t="s">
        <v>39</v>
      </c>
      <c r="H795" t="s">
        <v>40</v>
      </c>
      <c r="I795" t="s">
        <v>41</v>
      </c>
      <c r="J795" t="s">
        <v>88</v>
      </c>
      <c r="K795" t="s">
        <v>94</v>
      </c>
      <c r="L795" t="s">
        <v>2470</v>
      </c>
      <c r="M795" t="s">
        <v>45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46</v>
      </c>
      <c r="U795" t="s">
        <v>47</v>
      </c>
      <c r="V795" t="str">
        <f t="shared" si="119"/>
        <v>Valid</v>
      </c>
      <c r="W795">
        <f t="shared" si="120"/>
        <v>6</v>
      </c>
      <c r="Y795" t="str">
        <f t="shared" si="121"/>
        <v>OK</v>
      </c>
      <c r="Z795" t="str">
        <f t="shared" si="122"/>
        <v>OK</v>
      </c>
      <c r="AA795" t="str">
        <f t="shared" si="123"/>
        <v>OK</v>
      </c>
      <c r="AB795" t="str">
        <f t="shared" si="124"/>
        <v>Valid</v>
      </c>
      <c r="AC795" t="str">
        <f>IF(OR(AB795="Invalid Discount",V795="Invalid Shipping"),
"Invalid",
IF(OR(Y795="Missing Region",
Z795="Missing Ship Mode",
AA795="Missing Discount",
X795="Flagged for Review"),
"Warning",
"Clean"))</f>
        <v>Clean</v>
      </c>
      <c r="AD795">
        <f t="shared" si="125"/>
        <v>0</v>
      </c>
      <c r="AE795">
        <f>N795*O795*(1-AD795)</f>
        <v>21511.599999999999</v>
      </c>
      <c r="AF795">
        <f>AE795-R795</f>
        <v>6103.1299999999992</v>
      </c>
      <c r="AG795" s="3">
        <f t="shared" si="126"/>
        <v>0.28371343833094703</v>
      </c>
      <c r="AH795" t="str">
        <f t="shared" si="127"/>
        <v>May</v>
      </c>
      <c r="AI795">
        <f t="shared" si="128"/>
        <v>2024</v>
      </c>
    </row>
    <row r="796" spans="1:35">
      <c r="A796" t="s">
        <v>2471</v>
      </c>
      <c r="B796" s="2">
        <v>45830</v>
      </c>
      <c r="C796" s="2">
        <v>45832</v>
      </c>
      <c r="D796" t="s">
        <v>2472</v>
      </c>
      <c r="E796" t="s">
        <v>146</v>
      </c>
      <c r="F796" t="s">
        <v>104</v>
      </c>
      <c r="G796" t="s">
        <v>52</v>
      </c>
      <c r="H796" t="s">
        <v>180</v>
      </c>
      <c r="I796" t="s">
        <v>181</v>
      </c>
      <c r="J796" t="s">
        <v>42</v>
      </c>
      <c r="K796" t="s">
        <v>43</v>
      </c>
      <c r="L796" t="s">
        <v>2473</v>
      </c>
      <c r="M796" t="s">
        <v>73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46</v>
      </c>
      <c r="U796" t="s">
        <v>47</v>
      </c>
      <c r="V796" t="str">
        <f t="shared" si="119"/>
        <v>Valid</v>
      </c>
      <c r="W796">
        <f t="shared" si="120"/>
        <v>2</v>
      </c>
      <c r="Y796" t="str">
        <f t="shared" si="121"/>
        <v>OK</v>
      </c>
      <c r="Z796" t="str">
        <f t="shared" si="122"/>
        <v>OK</v>
      </c>
      <c r="AA796" t="str">
        <f t="shared" si="123"/>
        <v>OK</v>
      </c>
      <c r="AB796" t="str">
        <f t="shared" si="124"/>
        <v>Valid</v>
      </c>
      <c r="AC796" t="str">
        <f>IF(OR(AB796="Invalid Discount",V796="Invalid Shipping"),
"Invalid",
IF(OR(Y796="Missing Region",
Z796="Missing Ship Mode",
AA796="Missing Discount",
X796="Flagged for Review"),
"Warning",
"Clean"))</f>
        <v>Clean</v>
      </c>
      <c r="AD796">
        <f t="shared" si="125"/>
        <v>0.15</v>
      </c>
      <c r="AE796">
        <f>N796*O796*(1-AD796)</f>
        <v>7279.3574999999992</v>
      </c>
      <c r="AF796">
        <f>AE796-R796</f>
        <v>2408.9674999999988</v>
      </c>
      <c r="AG796" s="3">
        <f t="shared" si="126"/>
        <v>0.33093133562955235</v>
      </c>
      <c r="AH796" t="str">
        <f t="shared" si="127"/>
        <v>June</v>
      </c>
      <c r="AI796">
        <f t="shared" si="128"/>
        <v>2025</v>
      </c>
    </row>
    <row r="797" spans="1:35">
      <c r="A797" t="s">
        <v>2474</v>
      </c>
      <c r="B797" s="2">
        <v>45503</v>
      </c>
      <c r="C797" s="2">
        <v>45503</v>
      </c>
      <c r="D797" t="s">
        <v>2475</v>
      </c>
      <c r="E797" t="s">
        <v>176</v>
      </c>
      <c r="F797" t="s">
        <v>109</v>
      </c>
      <c r="G797" t="s">
        <v>52</v>
      </c>
      <c r="H797" t="s">
        <v>53</v>
      </c>
      <c r="I797" t="s">
        <v>54</v>
      </c>
      <c r="J797" t="s">
        <v>88</v>
      </c>
      <c r="K797" t="s">
        <v>94</v>
      </c>
      <c r="L797" t="s">
        <v>2476</v>
      </c>
      <c r="M797" t="s">
        <v>58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116</v>
      </c>
      <c r="U797" t="s">
        <v>82</v>
      </c>
      <c r="V797" t="str">
        <f t="shared" si="119"/>
        <v>Valid</v>
      </c>
      <c r="W797">
        <f t="shared" si="120"/>
        <v>0</v>
      </c>
      <c r="Y797" t="str">
        <f t="shared" si="121"/>
        <v>OK</v>
      </c>
      <c r="Z797" t="str">
        <f t="shared" si="122"/>
        <v>OK</v>
      </c>
      <c r="AA797" t="str">
        <f t="shared" si="123"/>
        <v>OK</v>
      </c>
      <c r="AB797" t="str">
        <f t="shared" si="124"/>
        <v>Valid</v>
      </c>
      <c r="AC797" t="str">
        <f>IF(OR(AB797="Invalid Discount",V797="Invalid Shipping"),
"Invalid",
IF(OR(Y797="Missing Region",
Z797="Missing Ship Mode",
AA797="Missing Discount",
X797="Flagged for Review"),
"Warning",
"Clean"))</f>
        <v>Clean</v>
      </c>
      <c r="AD797">
        <f t="shared" si="125"/>
        <v>0</v>
      </c>
      <c r="AE797">
        <f>N797*O797*(1-AD797)</f>
        <v>26051.94</v>
      </c>
      <c r="AF797">
        <f>AE797-R797</f>
        <v>9168.3499999999985</v>
      </c>
      <c r="AG797" s="3">
        <f t="shared" si="126"/>
        <v>0.3519258066769691</v>
      </c>
      <c r="AH797" t="str">
        <f t="shared" si="127"/>
        <v>July</v>
      </c>
      <c r="AI797">
        <f t="shared" si="128"/>
        <v>2024</v>
      </c>
    </row>
    <row r="798" spans="1:35">
      <c r="A798" t="s">
        <v>2477</v>
      </c>
      <c r="B798" s="2">
        <v>45374</v>
      </c>
      <c r="C798" s="2">
        <v>45381</v>
      </c>
      <c r="D798" t="s">
        <v>2478</v>
      </c>
      <c r="E798" t="s">
        <v>155</v>
      </c>
      <c r="F798" t="s">
        <v>51</v>
      </c>
      <c r="G798" t="s">
        <v>68</v>
      </c>
      <c r="H798" t="s">
        <v>98</v>
      </c>
      <c r="I798" t="s">
        <v>99</v>
      </c>
      <c r="J798" t="s">
        <v>88</v>
      </c>
      <c r="K798" t="s">
        <v>289</v>
      </c>
      <c r="L798" t="s">
        <v>2479</v>
      </c>
      <c r="M798" t="s">
        <v>64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46</v>
      </c>
      <c r="U798" t="s">
        <v>47</v>
      </c>
      <c r="V798" t="str">
        <f t="shared" si="119"/>
        <v>Valid</v>
      </c>
      <c r="W798">
        <f t="shared" si="120"/>
        <v>7</v>
      </c>
      <c r="Y798" t="str">
        <f t="shared" si="121"/>
        <v>OK</v>
      </c>
      <c r="Z798" t="str">
        <f t="shared" si="122"/>
        <v>OK</v>
      </c>
      <c r="AA798" t="str">
        <f t="shared" si="123"/>
        <v>OK</v>
      </c>
      <c r="AB798" t="str">
        <f t="shared" si="124"/>
        <v>Valid</v>
      </c>
      <c r="AC798" t="str">
        <f>IF(OR(AB798="Invalid Discount",V798="Invalid Shipping"),
"Invalid",
IF(OR(Y798="Missing Region",
Z798="Missing Ship Mode",
AA798="Missing Discount",
X798="Flagged for Review"),
"Warning",
"Clean"))</f>
        <v>Clean</v>
      </c>
      <c r="AD798">
        <f t="shared" si="125"/>
        <v>0.15</v>
      </c>
      <c r="AE798">
        <f>N798*O798*(1-AD798)</f>
        <v>9661.6439999999984</v>
      </c>
      <c r="AF798">
        <f>AE798-R798</f>
        <v>3357.873999999998</v>
      </c>
      <c r="AG798" s="3">
        <f t="shared" si="126"/>
        <v>0.34754685641491223</v>
      </c>
      <c r="AH798" t="str">
        <f t="shared" si="127"/>
        <v>March</v>
      </c>
      <c r="AI798">
        <f t="shared" si="128"/>
        <v>2024</v>
      </c>
    </row>
    <row r="799" spans="1:35">
      <c r="A799" t="s">
        <v>2480</v>
      </c>
      <c r="B799" s="2">
        <v>45400</v>
      </c>
      <c r="C799" s="2">
        <v>45404</v>
      </c>
      <c r="D799" t="s">
        <v>2481</v>
      </c>
      <c r="E799" t="s">
        <v>142</v>
      </c>
      <c r="F799" t="s">
        <v>38</v>
      </c>
      <c r="G799" t="s">
        <v>52</v>
      </c>
      <c r="H799" t="s">
        <v>53</v>
      </c>
      <c r="I799" t="s">
        <v>54</v>
      </c>
      <c r="J799" t="s">
        <v>42</v>
      </c>
      <c r="K799" t="s">
        <v>167</v>
      </c>
      <c r="L799" t="s">
        <v>2482</v>
      </c>
      <c r="M799" t="s">
        <v>64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169</v>
      </c>
      <c r="U799" t="s">
        <v>82</v>
      </c>
      <c r="V799" t="str">
        <f t="shared" si="119"/>
        <v>Valid</v>
      </c>
      <c r="W799">
        <f t="shared" si="120"/>
        <v>4</v>
      </c>
      <c r="Y799" t="str">
        <f t="shared" si="121"/>
        <v>OK</v>
      </c>
      <c r="Z799" t="str">
        <f t="shared" si="122"/>
        <v>OK</v>
      </c>
      <c r="AA799" t="str">
        <f t="shared" si="123"/>
        <v>OK</v>
      </c>
      <c r="AB799" t="str">
        <f t="shared" si="124"/>
        <v>Valid</v>
      </c>
      <c r="AC799" t="str">
        <f>IF(OR(AB799="Invalid Discount",V799="Invalid Shipping"),
"Invalid",
IF(OR(Y799="Missing Region",
Z799="Missing Ship Mode",
AA799="Missing Discount",
X799="Flagged for Review"),
"Warning",
"Clean"))</f>
        <v>Clean</v>
      </c>
      <c r="AD799">
        <f t="shared" si="125"/>
        <v>0</v>
      </c>
      <c r="AE799">
        <f>N799*O799*(1-AD799)</f>
        <v>13714.96</v>
      </c>
      <c r="AF799">
        <f>AE799-R799</f>
        <v>3164.49</v>
      </c>
      <c r="AG799" s="3">
        <f t="shared" si="126"/>
        <v>0.23073271814135804</v>
      </c>
      <c r="AH799" t="str">
        <f t="shared" si="127"/>
        <v>April</v>
      </c>
      <c r="AI799">
        <f t="shared" si="128"/>
        <v>2024</v>
      </c>
    </row>
    <row r="800" spans="1:35">
      <c r="A800" t="s">
        <v>2483</v>
      </c>
      <c r="B800" s="2">
        <v>45849</v>
      </c>
      <c r="C800" s="2">
        <v>45847</v>
      </c>
      <c r="D800" t="s">
        <v>2484</v>
      </c>
      <c r="E800" t="s">
        <v>103</v>
      </c>
      <c r="F800" t="s">
        <v>104</v>
      </c>
      <c r="G800" t="s">
        <v>39</v>
      </c>
      <c r="H800" t="s">
        <v>365</v>
      </c>
      <c r="I800" t="s">
        <v>366</v>
      </c>
      <c r="J800" t="s">
        <v>55</v>
      </c>
      <c r="K800" t="s">
        <v>71</v>
      </c>
      <c r="L800" t="s">
        <v>2485</v>
      </c>
      <c r="M800" t="s">
        <v>73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46</v>
      </c>
      <c r="U800" t="s">
        <v>47</v>
      </c>
      <c r="V800" t="str">
        <f t="shared" si="119"/>
        <v>Invalid Shipping</v>
      </c>
      <c r="W800">
        <f t="shared" si="120"/>
        <v>-2</v>
      </c>
      <c r="Y800" t="str">
        <f t="shared" si="121"/>
        <v>OK</v>
      </c>
      <c r="Z800" t="str">
        <f t="shared" si="122"/>
        <v>OK</v>
      </c>
      <c r="AA800" t="str">
        <f t="shared" si="123"/>
        <v>OK</v>
      </c>
      <c r="AB800" t="str">
        <f t="shared" si="124"/>
        <v>Valid</v>
      </c>
      <c r="AC800" t="str">
        <f>IF(OR(AB800="Invalid Discount",V800="Invalid Shipping"),
"Invalid",
IF(OR(Y800="Missing Region",
Z800="Missing Ship Mode",
AA800="Missing Discount",
X800="Flagged for Review"),
"Warning",
"Clean"))</f>
        <v>Invalid</v>
      </c>
      <c r="AD800">
        <f t="shared" si="125"/>
        <v>0</v>
      </c>
      <c r="AE800">
        <f>N800*O800*(1-AD800)</f>
        <v>15354.449999999999</v>
      </c>
      <c r="AF800">
        <f>AE800-R800</f>
        <v>5697.9499999999989</v>
      </c>
      <c r="AG800" s="3">
        <f t="shared" si="126"/>
        <v>0.37109437329243311</v>
      </c>
      <c r="AH800" t="str">
        <f t="shared" si="127"/>
        <v>July</v>
      </c>
      <c r="AI800">
        <f t="shared" si="128"/>
        <v>2025</v>
      </c>
    </row>
    <row r="801" spans="1:35">
      <c r="A801" t="s">
        <v>2486</v>
      </c>
      <c r="B801" s="2">
        <v>45575</v>
      </c>
      <c r="C801" s="2">
        <v>45582</v>
      </c>
      <c r="D801" t="s">
        <v>2487</v>
      </c>
      <c r="E801" t="s">
        <v>61</v>
      </c>
      <c r="F801" t="s">
        <v>109</v>
      </c>
      <c r="G801" t="s">
        <v>39</v>
      </c>
      <c r="H801" t="s">
        <v>251</v>
      </c>
      <c r="I801" t="s">
        <v>252</v>
      </c>
      <c r="J801" t="s">
        <v>88</v>
      </c>
      <c r="K801" t="s">
        <v>89</v>
      </c>
      <c r="L801" t="s">
        <v>2488</v>
      </c>
      <c r="M801" t="s">
        <v>219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46</v>
      </c>
      <c r="U801" t="s">
        <v>117</v>
      </c>
      <c r="V801" t="str">
        <f t="shared" si="119"/>
        <v>Valid</v>
      </c>
      <c r="W801">
        <f t="shared" si="120"/>
        <v>7</v>
      </c>
      <c r="Y801" t="str">
        <f t="shared" si="121"/>
        <v>OK</v>
      </c>
      <c r="Z801" t="str">
        <f t="shared" si="122"/>
        <v>Missing Ship Mode</v>
      </c>
      <c r="AA801" t="str">
        <f t="shared" si="123"/>
        <v>OK</v>
      </c>
      <c r="AB801" t="str">
        <f t="shared" si="124"/>
        <v>Valid</v>
      </c>
      <c r="AC801" t="str">
        <f>IF(OR(AB801="Invalid Discount",V801="Invalid Shipping"),
"Invalid",
IF(OR(Y801="Missing Region",
Z801="Missing Ship Mode",
AA801="Missing Discount",
X801="Flagged for Review"),
"Warning",
"Clean"))</f>
        <v>Warning</v>
      </c>
      <c r="AD801">
        <f t="shared" si="125"/>
        <v>0.05</v>
      </c>
      <c r="AE801">
        <f>N801*O801*(1-AD801)</f>
        <v>4595.1975000000002</v>
      </c>
      <c r="AF801">
        <f>AE801-R801</f>
        <v>707.78750000000036</v>
      </c>
      <c r="AG801" s="3">
        <f t="shared" si="126"/>
        <v>0.15402765604742785</v>
      </c>
      <c r="AH801" t="str">
        <f t="shared" si="127"/>
        <v>October</v>
      </c>
      <c r="AI801">
        <f t="shared" si="128"/>
        <v>2024</v>
      </c>
    </row>
    <row r="802" spans="1:35">
      <c r="A802" t="s">
        <v>2489</v>
      </c>
      <c r="B802" s="2">
        <v>45352</v>
      </c>
      <c r="C802" s="2">
        <v>45358</v>
      </c>
      <c r="D802" t="s">
        <v>2490</v>
      </c>
      <c r="E802" t="s">
        <v>85</v>
      </c>
      <c r="F802" t="s">
        <v>51</v>
      </c>
      <c r="G802" t="s">
        <v>77</v>
      </c>
      <c r="H802" t="s">
        <v>78</v>
      </c>
      <c r="I802" t="s">
        <v>79</v>
      </c>
      <c r="J802" t="s">
        <v>42</v>
      </c>
      <c r="K802" t="s">
        <v>138</v>
      </c>
      <c r="L802" t="s">
        <v>2491</v>
      </c>
      <c r="M802" t="s">
        <v>45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46</v>
      </c>
      <c r="U802" t="s">
        <v>47</v>
      </c>
      <c r="V802" t="str">
        <f t="shared" si="119"/>
        <v>Valid</v>
      </c>
      <c r="W802">
        <f t="shared" si="120"/>
        <v>6</v>
      </c>
      <c r="Y802" t="str">
        <f t="shared" si="121"/>
        <v>OK</v>
      </c>
      <c r="Z802" t="str">
        <f t="shared" si="122"/>
        <v>OK</v>
      </c>
      <c r="AA802" t="str">
        <f t="shared" si="123"/>
        <v>OK</v>
      </c>
      <c r="AB802" t="str">
        <f t="shared" si="124"/>
        <v>Valid</v>
      </c>
      <c r="AC802" t="str">
        <f>IF(OR(AB802="Invalid Discount",V802="Invalid Shipping"),
"Invalid",
IF(OR(Y802="Missing Region",
Z802="Missing Ship Mode",
AA802="Missing Discount",
X802="Flagged for Review"),
"Warning",
"Clean"))</f>
        <v>Clean</v>
      </c>
      <c r="AD802">
        <f t="shared" si="125"/>
        <v>0.15</v>
      </c>
      <c r="AE802">
        <f>N802*O802*(1-AD802)</f>
        <v>21234.971999999998</v>
      </c>
      <c r="AF802">
        <f>AE802-R802</f>
        <v>4498.8819999999978</v>
      </c>
      <c r="AG802" s="3">
        <f t="shared" si="126"/>
        <v>0.21186192286950029</v>
      </c>
      <c r="AH802" t="str">
        <f t="shared" si="127"/>
        <v>March</v>
      </c>
      <c r="AI802">
        <f t="shared" si="128"/>
        <v>2024</v>
      </c>
    </row>
    <row r="803" spans="1:35">
      <c r="A803" t="s">
        <v>2492</v>
      </c>
      <c r="B803" s="2">
        <v>45938</v>
      </c>
      <c r="C803" s="2">
        <v>45945</v>
      </c>
      <c r="D803" t="s">
        <v>2493</v>
      </c>
      <c r="E803" t="s">
        <v>142</v>
      </c>
      <c r="F803" t="s">
        <v>109</v>
      </c>
      <c r="G803" t="s">
        <v>52</v>
      </c>
      <c r="H803" t="s">
        <v>53</v>
      </c>
      <c r="I803" t="s">
        <v>54</v>
      </c>
      <c r="J803" t="s">
        <v>88</v>
      </c>
      <c r="K803" t="s">
        <v>89</v>
      </c>
      <c r="L803" t="s">
        <v>2494</v>
      </c>
      <c r="M803" t="s">
        <v>45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125</v>
      </c>
      <c r="U803" t="s">
        <v>82</v>
      </c>
      <c r="V803" t="str">
        <f t="shared" si="119"/>
        <v>Valid</v>
      </c>
      <c r="W803">
        <f t="shared" si="120"/>
        <v>7</v>
      </c>
      <c r="Y803" t="str">
        <f t="shared" si="121"/>
        <v>OK</v>
      </c>
      <c r="Z803" t="str">
        <f t="shared" si="122"/>
        <v>OK</v>
      </c>
      <c r="AA803" t="str">
        <f t="shared" si="123"/>
        <v>OK</v>
      </c>
      <c r="AB803" t="str">
        <f t="shared" si="124"/>
        <v>Valid</v>
      </c>
      <c r="AC803" t="str">
        <f>IF(OR(AB803="Invalid Discount",V803="Invalid Shipping"),
"Invalid",
IF(OR(Y803="Missing Region",
Z803="Missing Ship Mode",
AA803="Missing Discount",
X803="Flagged for Review"),
"Warning",
"Clean"))</f>
        <v>Clean</v>
      </c>
      <c r="AD803">
        <f t="shared" si="125"/>
        <v>0.2</v>
      </c>
      <c r="AE803">
        <f>N803*O803*(1-AD803)</f>
        <v>8093.304000000001</v>
      </c>
      <c r="AF803">
        <f>AE803-R803</f>
        <v>2040.8740000000007</v>
      </c>
      <c r="AG803" s="3">
        <f t="shared" si="126"/>
        <v>0.25216821214179036</v>
      </c>
      <c r="AH803" t="str">
        <f t="shared" si="127"/>
        <v>October</v>
      </c>
      <c r="AI803">
        <f t="shared" si="128"/>
        <v>2025</v>
      </c>
    </row>
    <row r="804" spans="1:35">
      <c r="A804" t="s">
        <v>2495</v>
      </c>
      <c r="B804" s="2">
        <v>45704</v>
      </c>
      <c r="C804" s="2">
        <v>45704</v>
      </c>
      <c r="D804" t="s">
        <v>2496</v>
      </c>
      <c r="E804" t="s">
        <v>155</v>
      </c>
      <c r="F804" t="s">
        <v>51</v>
      </c>
      <c r="G804" t="s">
        <v>52</v>
      </c>
      <c r="H804" t="s">
        <v>180</v>
      </c>
      <c r="I804" t="s">
        <v>181</v>
      </c>
      <c r="J804" t="s">
        <v>55</v>
      </c>
      <c r="K804" t="s">
        <v>71</v>
      </c>
      <c r="L804" t="s">
        <v>2497</v>
      </c>
      <c r="M804" t="s">
        <v>45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169</v>
      </c>
      <c r="U804" t="s">
        <v>117</v>
      </c>
      <c r="V804" t="str">
        <f t="shared" si="119"/>
        <v>Valid</v>
      </c>
      <c r="W804">
        <f t="shared" si="120"/>
        <v>0</v>
      </c>
      <c r="Y804" t="str">
        <f t="shared" si="121"/>
        <v>OK</v>
      </c>
      <c r="Z804" t="str">
        <f t="shared" si="122"/>
        <v>OK</v>
      </c>
      <c r="AA804" t="str">
        <f t="shared" si="123"/>
        <v>OK</v>
      </c>
      <c r="AB804" t="str">
        <f t="shared" si="124"/>
        <v>Valid</v>
      </c>
      <c r="AC804" t="str">
        <f>IF(OR(AB804="Invalid Discount",V804="Invalid Shipping"),
"Invalid",
IF(OR(Y804="Missing Region",
Z804="Missing Ship Mode",
AA804="Missing Discount",
X804="Flagged for Review"),
"Warning",
"Clean"))</f>
        <v>Clean</v>
      </c>
      <c r="AD804">
        <f t="shared" si="125"/>
        <v>0</v>
      </c>
      <c r="AE804">
        <f>N804*O804*(1-AD804)</f>
        <v>8651.4600000000009</v>
      </c>
      <c r="AF804">
        <f>AE804-R804</f>
        <v>3396.8400000000011</v>
      </c>
      <c r="AG804" s="3">
        <f t="shared" si="126"/>
        <v>0.39263199506210522</v>
      </c>
      <c r="AH804" t="str">
        <f t="shared" si="127"/>
        <v>February</v>
      </c>
      <c r="AI804">
        <f t="shared" si="128"/>
        <v>2025</v>
      </c>
    </row>
    <row r="805" spans="1:35">
      <c r="A805" t="s">
        <v>2498</v>
      </c>
      <c r="B805" s="2">
        <v>45635</v>
      </c>
      <c r="C805" s="2">
        <v>45639</v>
      </c>
      <c r="D805" t="s">
        <v>2499</v>
      </c>
      <c r="E805" t="s">
        <v>155</v>
      </c>
      <c r="F805" t="s">
        <v>38</v>
      </c>
      <c r="G805" t="s">
        <v>219</v>
      </c>
      <c r="H805" t="s">
        <v>243</v>
      </c>
      <c r="I805" t="s">
        <v>244</v>
      </c>
      <c r="J805" t="s">
        <v>42</v>
      </c>
      <c r="K805" t="s">
        <v>105</v>
      </c>
      <c r="L805" t="s">
        <v>2500</v>
      </c>
      <c r="M805" t="s">
        <v>64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46</v>
      </c>
      <c r="U805" t="s">
        <v>47</v>
      </c>
      <c r="V805" t="str">
        <f t="shared" si="119"/>
        <v>Valid</v>
      </c>
      <c r="W805">
        <f t="shared" si="120"/>
        <v>4</v>
      </c>
      <c r="Y805" t="str">
        <f t="shared" si="121"/>
        <v>Missing Region</v>
      </c>
      <c r="Z805" t="str">
        <f t="shared" si="122"/>
        <v>OK</v>
      </c>
      <c r="AA805" t="str">
        <f t="shared" si="123"/>
        <v>OK</v>
      </c>
      <c r="AB805" t="str">
        <f t="shared" si="124"/>
        <v>Valid</v>
      </c>
      <c r="AC805" t="str">
        <f>IF(OR(AB805="Invalid Discount",V805="Invalid Shipping"),
"Invalid",
IF(OR(Y805="Missing Region",
Z805="Missing Ship Mode",
AA805="Missing Discount",
X805="Flagged for Review"),
"Warning",
"Clean"))</f>
        <v>Warning</v>
      </c>
      <c r="AD805">
        <f t="shared" si="125"/>
        <v>0</v>
      </c>
      <c r="AE805">
        <f>N805*O805*(1-AD805)</f>
        <v>4306.6499999999996</v>
      </c>
      <c r="AF805">
        <f>AE805-R805</f>
        <v>1737.8299999999995</v>
      </c>
      <c r="AG805" s="3">
        <f t="shared" si="126"/>
        <v>0.40352245945224235</v>
      </c>
      <c r="AH805" t="str">
        <f t="shared" si="127"/>
        <v>December</v>
      </c>
      <c r="AI805">
        <f t="shared" si="128"/>
        <v>2024</v>
      </c>
    </row>
    <row r="806" spans="1:35">
      <c r="A806" t="s">
        <v>2501</v>
      </c>
      <c r="B806" s="2">
        <v>45910</v>
      </c>
      <c r="C806" s="2">
        <v>45918</v>
      </c>
      <c r="D806" t="s">
        <v>2502</v>
      </c>
      <c r="E806" t="s">
        <v>132</v>
      </c>
      <c r="F806" t="s">
        <v>109</v>
      </c>
      <c r="G806" t="s">
        <v>68</v>
      </c>
      <c r="H806" t="s">
        <v>69</v>
      </c>
      <c r="I806" t="s">
        <v>70</v>
      </c>
      <c r="J806" t="s">
        <v>55</v>
      </c>
      <c r="K806" t="s">
        <v>71</v>
      </c>
      <c r="L806" t="s">
        <v>2503</v>
      </c>
      <c r="M806" t="s">
        <v>73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46</v>
      </c>
      <c r="U806" t="s">
        <v>47</v>
      </c>
      <c r="V806" t="str">
        <f t="shared" si="119"/>
        <v>Valid</v>
      </c>
      <c r="W806">
        <f t="shared" si="120"/>
        <v>8</v>
      </c>
      <c r="Y806" t="str">
        <f t="shared" si="121"/>
        <v>OK</v>
      </c>
      <c r="Z806" t="str">
        <f t="shared" si="122"/>
        <v>OK</v>
      </c>
      <c r="AA806" t="str">
        <f t="shared" si="123"/>
        <v>OK</v>
      </c>
      <c r="AB806" t="str">
        <f t="shared" si="124"/>
        <v>Valid</v>
      </c>
      <c r="AC806" t="str">
        <f>IF(OR(AB806="Invalid Discount",V806="Invalid Shipping"),
"Invalid",
IF(OR(Y806="Missing Region",
Z806="Missing Ship Mode",
AA806="Missing Discount",
X806="Flagged for Review"),
"Warning",
"Clean"))</f>
        <v>Clean</v>
      </c>
      <c r="AD806">
        <f t="shared" si="125"/>
        <v>0.05</v>
      </c>
      <c r="AE806">
        <f>N806*O806*(1-AD806)</f>
        <v>1948.0889999999997</v>
      </c>
      <c r="AF806">
        <f>AE806-R806</f>
        <v>441.00899999999979</v>
      </c>
      <c r="AG806" s="3">
        <f t="shared" si="126"/>
        <v>0.22638031424642296</v>
      </c>
      <c r="AH806" t="str">
        <f t="shared" si="127"/>
        <v>September</v>
      </c>
      <c r="AI806">
        <f t="shared" si="128"/>
        <v>2025</v>
      </c>
    </row>
    <row r="807" spans="1:35">
      <c r="A807" t="s">
        <v>2504</v>
      </c>
      <c r="B807" s="2">
        <v>45753</v>
      </c>
      <c r="C807" s="2">
        <v>45754</v>
      </c>
      <c r="D807" t="s">
        <v>2369</v>
      </c>
      <c r="E807" t="s">
        <v>128</v>
      </c>
      <c r="F807" t="s">
        <v>109</v>
      </c>
      <c r="G807" t="s">
        <v>52</v>
      </c>
      <c r="H807" t="s">
        <v>180</v>
      </c>
      <c r="I807" t="s">
        <v>181</v>
      </c>
      <c r="J807" t="s">
        <v>42</v>
      </c>
      <c r="K807" t="s">
        <v>167</v>
      </c>
      <c r="L807" t="s">
        <v>2505</v>
      </c>
      <c r="M807" t="s">
        <v>45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46</v>
      </c>
      <c r="U807" t="s">
        <v>47</v>
      </c>
      <c r="V807" t="str">
        <f t="shared" si="119"/>
        <v>Valid</v>
      </c>
      <c r="W807">
        <f t="shared" si="120"/>
        <v>1</v>
      </c>
      <c r="Y807" t="str">
        <f t="shared" si="121"/>
        <v>OK</v>
      </c>
      <c r="Z807" t="str">
        <f t="shared" si="122"/>
        <v>OK</v>
      </c>
      <c r="AA807" t="str">
        <f t="shared" si="123"/>
        <v>OK</v>
      </c>
      <c r="AB807" t="str">
        <f t="shared" si="124"/>
        <v>Valid</v>
      </c>
      <c r="AC807" t="str">
        <f>IF(OR(AB807="Invalid Discount",V807="Invalid Shipping"),
"Invalid",
IF(OR(Y807="Missing Region",
Z807="Missing Ship Mode",
AA807="Missing Discount",
X807="Flagged for Review"),
"Warning",
"Clean"))</f>
        <v>Clean</v>
      </c>
      <c r="AD807">
        <f t="shared" si="125"/>
        <v>0.25</v>
      </c>
      <c r="AE807">
        <f>N807*O807*(1-AD807)</f>
        <v>3045.09</v>
      </c>
      <c r="AF807">
        <f>AE807-R807</f>
        <v>444</v>
      </c>
      <c r="AG807" s="3">
        <f t="shared" si="126"/>
        <v>0.14580849827098705</v>
      </c>
      <c r="AH807" t="str">
        <f t="shared" si="127"/>
        <v>April</v>
      </c>
      <c r="AI807">
        <f t="shared" si="128"/>
        <v>2025</v>
      </c>
    </row>
    <row r="808" spans="1:35">
      <c r="A808" t="s">
        <v>2506</v>
      </c>
      <c r="B808" s="2">
        <v>45605</v>
      </c>
      <c r="C808" s="2">
        <v>45611</v>
      </c>
      <c r="D808" t="s">
        <v>2507</v>
      </c>
      <c r="E808" t="s">
        <v>61</v>
      </c>
      <c r="F808" t="s">
        <v>109</v>
      </c>
      <c r="G808" t="s">
        <v>39</v>
      </c>
      <c r="H808" t="s">
        <v>40</v>
      </c>
      <c r="I808" t="s">
        <v>41</v>
      </c>
      <c r="J808" t="s">
        <v>88</v>
      </c>
      <c r="K808" t="s">
        <v>94</v>
      </c>
      <c r="L808" t="s">
        <v>2508</v>
      </c>
      <c r="M808" t="s">
        <v>73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169</v>
      </c>
      <c r="U808" t="s">
        <v>82</v>
      </c>
      <c r="V808" t="str">
        <f t="shared" si="119"/>
        <v>Valid</v>
      </c>
      <c r="W808">
        <f t="shared" si="120"/>
        <v>6</v>
      </c>
      <c r="Y808" t="str">
        <f t="shared" si="121"/>
        <v>OK</v>
      </c>
      <c r="Z808" t="str">
        <f t="shared" si="122"/>
        <v>OK</v>
      </c>
      <c r="AA808" t="str">
        <f t="shared" si="123"/>
        <v>OK</v>
      </c>
      <c r="AB808" t="str">
        <f t="shared" si="124"/>
        <v>Valid</v>
      </c>
      <c r="AC808" t="str">
        <f>IF(OR(AB808="Invalid Discount",V808="Invalid Shipping"),
"Invalid",
IF(OR(Y808="Missing Region",
Z808="Missing Ship Mode",
AA808="Missing Discount",
X808="Flagged for Review"),
"Warning",
"Clean"))</f>
        <v>Clean</v>
      </c>
      <c r="AD808">
        <f t="shared" si="125"/>
        <v>0.2</v>
      </c>
      <c r="AE808">
        <f>N808*O808*(1-AD808)</f>
        <v>2932.7759999999998</v>
      </c>
      <c r="AF808">
        <f>AE808-R808</f>
        <v>1032.4259999999999</v>
      </c>
      <c r="AG808" s="3">
        <f t="shared" si="126"/>
        <v>0.35203029484692999</v>
      </c>
      <c r="AH808" t="str">
        <f t="shared" si="127"/>
        <v>November</v>
      </c>
      <c r="AI808">
        <f t="shared" si="128"/>
        <v>2024</v>
      </c>
    </row>
    <row r="809" spans="1:35">
      <c r="A809" t="s">
        <v>2509</v>
      </c>
      <c r="B809" s="2">
        <v>45695</v>
      </c>
      <c r="C809" s="2">
        <v>45696</v>
      </c>
      <c r="D809" t="s">
        <v>2510</v>
      </c>
      <c r="E809" t="s">
        <v>37</v>
      </c>
      <c r="F809" t="s">
        <v>51</v>
      </c>
      <c r="G809" t="s">
        <v>68</v>
      </c>
      <c r="H809" t="s">
        <v>69</v>
      </c>
      <c r="I809" t="s">
        <v>70</v>
      </c>
      <c r="J809" t="s">
        <v>42</v>
      </c>
      <c r="K809" t="s">
        <v>105</v>
      </c>
      <c r="L809" t="s">
        <v>2511</v>
      </c>
      <c r="M809" t="s">
        <v>73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46</v>
      </c>
      <c r="U809" t="s">
        <v>47</v>
      </c>
      <c r="V809" t="str">
        <f t="shared" si="119"/>
        <v>Valid</v>
      </c>
      <c r="W809">
        <f t="shared" si="120"/>
        <v>1</v>
      </c>
      <c r="Y809" t="str">
        <f t="shared" si="121"/>
        <v>OK</v>
      </c>
      <c r="Z809" t="str">
        <f t="shared" si="122"/>
        <v>OK</v>
      </c>
      <c r="AA809" t="str">
        <f t="shared" si="123"/>
        <v>OK</v>
      </c>
      <c r="AB809" t="str">
        <f t="shared" si="124"/>
        <v>Valid</v>
      </c>
      <c r="AC809" t="str">
        <f>IF(OR(AB809="Invalid Discount",V809="Invalid Shipping"),
"Invalid",
IF(OR(Y809="Missing Region",
Z809="Missing Ship Mode",
AA809="Missing Discount",
X809="Flagged for Review"),
"Warning",
"Clean"))</f>
        <v>Clean</v>
      </c>
      <c r="AD809">
        <f t="shared" si="125"/>
        <v>0.1</v>
      </c>
      <c r="AE809">
        <f>N809*O809*(1-AD809)</f>
        <v>4379.3640000000005</v>
      </c>
      <c r="AF809">
        <f>AE809-R809</f>
        <v>655.43400000000065</v>
      </c>
      <c r="AG809" s="3">
        <f t="shared" si="126"/>
        <v>0.14966419781502532</v>
      </c>
      <c r="AH809" t="str">
        <f t="shared" si="127"/>
        <v>February</v>
      </c>
      <c r="AI809">
        <f t="shared" si="128"/>
        <v>2025</v>
      </c>
    </row>
    <row r="810" spans="1:35">
      <c r="A810" t="s">
        <v>2512</v>
      </c>
      <c r="B810" s="2">
        <v>45900</v>
      </c>
      <c r="C810" s="2">
        <v>45897</v>
      </c>
      <c r="D810" t="s">
        <v>2513</v>
      </c>
      <c r="E810" t="s">
        <v>142</v>
      </c>
      <c r="F810" t="s">
        <v>51</v>
      </c>
      <c r="G810" t="s">
        <v>68</v>
      </c>
      <c r="H810" t="s">
        <v>262</v>
      </c>
      <c r="I810" t="s">
        <v>263</v>
      </c>
      <c r="J810" t="s">
        <v>55</v>
      </c>
      <c r="K810" t="s">
        <v>71</v>
      </c>
      <c r="L810" t="s">
        <v>2514</v>
      </c>
      <c r="M810" t="s">
        <v>64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46</v>
      </c>
      <c r="U810" t="s">
        <v>47</v>
      </c>
      <c r="V810" t="str">
        <f t="shared" si="119"/>
        <v>Invalid Shipping</v>
      </c>
      <c r="W810">
        <f t="shared" si="120"/>
        <v>-3</v>
      </c>
      <c r="Y810" t="str">
        <f t="shared" si="121"/>
        <v>OK</v>
      </c>
      <c r="Z810" t="str">
        <f t="shared" si="122"/>
        <v>OK</v>
      </c>
      <c r="AA810" t="str">
        <f t="shared" si="123"/>
        <v>OK</v>
      </c>
      <c r="AB810" t="str">
        <f t="shared" si="124"/>
        <v>Valid</v>
      </c>
      <c r="AC810" t="str">
        <f>IF(OR(AB810="Invalid Discount",V810="Invalid Shipping"),
"Invalid",
IF(OR(Y810="Missing Region",
Z810="Missing Ship Mode",
AA810="Missing Discount",
X810="Flagged for Review"),
"Warning",
"Clean"))</f>
        <v>Invalid</v>
      </c>
      <c r="AD810">
        <f t="shared" si="125"/>
        <v>0.2</v>
      </c>
      <c r="AE810">
        <f>N810*O810*(1-AD810)</f>
        <v>5472.768</v>
      </c>
      <c r="AF810">
        <f>AE810-R810</f>
        <v>995.4380000000001</v>
      </c>
      <c r="AG810" s="3">
        <f t="shared" si="126"/>
        <v>0.18188931085695575</v>
      </c>
      <c r="AH810" t="str">
        <f t="shared" si="127"/>
        <v>August</v>
      </c>
      <c r="AI810">
        <f t="shared" si="128"/>
        <v>2025</v>
      </c>
    </row>
    <row r="811" spans="1:35">
      <c r="A811" t="s">
        <v>2515</v>
      </c>
      <c r="B811" s="2">
        <v>45833</v>
      </c>
      <c r="C811" s="2">
        <v>45833</v>
      </c>
      <c r="D811" t="s">
        <v>2516</v>
      </c>
      <c r="E811" t="s">
        <v>67</v>
      </c>
      <c r="F811" t="s">
        <v>51</v>
      </c>
      <c r="G811" t="s">
        <v>219</v>
      </c>
      <c r="H811" t="s">
        <v>136</v>
      </c>
      <c r="I811" t="s">
        <v>137</v>
      </c>
      <c r="J811" t="s">
        <v>42</v>
      </c>
      <c r="K811" t="s">
        <v>167</v>
      </c>
      <c r="L811" t="s">
        <v>2517</v>
      </c>
      <c r="M811" t="s">
        <v>45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46</v>
      </c>
      <c r="U811" t="s">
        <v>47</v>
      </c>
      <c r="V811" t="str">
        <f t="shared" si="119"/>
        <v>Valid</v>
      </c>
      <c r="W811">
        <f t="shared" si="120"/>
        <v>0</v>
      </c>
      <c r="Y811" t="str">
        <f t="shared" si="121"/>
        <v>Missing Region</v>
      </c>
      <c r="Z811" t="str">
        <f t="shared" si="122"/>
        <v>OK</v>
      </c>
      <c r="AA811" t="str">
        <f t="shared" si="123"/>
        <v>OK</v>
      </c>
      <c r="AB811" t="str">
        <f t="shared" si="124"/>
        <v>Valid</v>
      </c>
      <c r="AC811" t="str">
        <f>IF(OR(AB811="Invalid Discount",V811="Invalid Shipping"),
"Invalid",
IF(OR(Y811="Missing Region",
Z811="Missing Ship Mode",
AA811="Missing Discount",
X811="Flagged for Review"),
"Warning",
"Clean"))</f>
        <v>Warning</v>
      </c>
      <c r="AD811">
        <f t="shared" si="125"/>
        <v>0.1</v>
      </c>
      <c r="AE811">
        <f>N811*O811*(1-AD811)</f>
        <v>7377.1020000000008</v>
      </c>
      <c r="AF811">
        <f>AE811-R811</f>
        <v>2291.8920000000007</v>
      </c>
      <c r="AG811" s="3">
        <f t="shared" si="126"/>
        <v>0.31067646888981615</v>
      </c>
      <c r="AH811" t="str">
        <f t="shared" si="127"/>
        <v>June</v>
      </c>
      <c r="AI811">
        <f t="shared" si="128"/>
        <v>2025</v>
      </c>
    </row>
    <row r="812" spans="1:35">
      <c r="A812" t="s">
        <v>2518</v>
      </c>
      <c r="B812" s="2">
        <v>45385</v>
      </c>
      <c r="C812" s="2">
        <v>45390</v>
      </c>
      <c r="D812" t="s">
        <v>1682</v>
      </c>
      <c r="E812" t="s">
        <v>279</v>
      </c>
      <c r="F812" t="s">
        <v>109</v>
      </c>
      <c r="G812" t="s">
        <v>77</v>
      </c>
      <c r="H812" t="s">
        <v>194</v>
      </c>
      <c r="I812" t="s">
        <v>195</v>
      </c>
      <c r="J812" t="s">
        <v>88</v>
      </c>
      <c r="K812" t="s">
        <v>94</v>
      </c>
      <c r="L812" t="s">
        <v>2519</v>
      </c>
      <c r="M812" t="s">
        <v>64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46</v>
      </c>
      <c r="U812" t="s">
        <v>47</v>
      </c>
      <c r="V812" t="str">
        <f t="shared" si="119"/>
        <v>Valid</v>
      </c>
      <c r="W812">
        <f t="shared" si="120"/>
        <v>5</v>
      </c>
      <c r="Y812" t="str">
        <f t="shared" si="121"/>
        <v>OK</v>
      </c>
      <c r="Z812" t="str">
        <f t="shared" si="122"/>
        <v>OK</v>
      </c>
      <c r="AA812" t="str">
        <f t="shared" si="123"/>
        <v>OK</v>
      </c>
      <c r="AB812" t="str">
        <f t="shared" si="124"/>
        <v>Valid</v>
      </c>
      <c r="AC812" t="str">
        <f>IF(OR(AB812="Invalid Discount",V812="Invalid Shipping"),
"Invalid",
IF(OR(Y812="Missing Region",
Z812="Missing Ship Mode",
AA812="Missing Discount",
X812="Flagged for Review"),
"Warning",
"Clean"))</f>
        <v>Clean</v>
      </c>
      <c r="AD812">
        <f t="shared" si="125"/>
        <v>0.25</v>
      </c>
      <c r="AE812">
        <f>N812*O812*(1-AD812)</f>
        <v>2363.8874999999998</v>
      </c>
      <c r="AF812">
        <f>AE812-R812</f>
        <v>892.37749999999983</v>
      </c>
      <c r="AG812" s="3">
        <f t="shared" si="126"/>
        <v>0.37750421710000998</v>
      </c>
      <c r="AH812" t="str">
        <f t="shared" si="127"/>
        <v>April</v>
      </c>
      <c r="AI812">
        <f t="shared" si="128"/>
        <v>2024</v>
      </c>
    </row>
    <row r="813" spans="1:35">
      <c r="A813" t="s">
        <v>2520</v>
      </c>
      <c r="B813" s="2">
        <v>45638</v>
      </c>
      <c r="C813" s="2">
        <v>45645</v>
      </c>
      <c r="D813" t="s">
        <v>2521</v>
      </c>
      <c r="E813" t="s">
        <v>155</v>
      </c>
      <c r="F813" t="s">
        <v>109</v>
      </c>
      <c r="G813" t="s">
        <v>39</v>
      </c>
      <c r="H813" t="s">
        <v>251</v>
      </c>
      <c r="I813" t="s">
        <v>252</v>
      </c>
      <c r="J813" t="s">
        <v>88</v>
      </c>
      <c r="K813" t="s">
        <v>89</v>
      </c>
      <c r="L813" t="s">
        <v>2522</v>
      </c>
      <c r="M813" t="s">
        <v>64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46</v>
      </c>
      <c r="U813" t="s">
        <v>47</v>
      </c>
      <c r="V813" t="str">
        <f t="shared" si="119"/>
        <v>Valid</v>
      </c>
      <c r="W813">
        <f t="shared" si="120"/>
        <v>7</v>
      </c>
      <c r="Y813" t="str">
        <f t="shared" si="121"/>
        <v>OK</v>
      </c>
      <c r="Z813" t="str">
        <f t="shared" si="122"/>
        <v>OK</v>
      </c>
      <c r="AA813" t="str">
        <f t="shared" si="123"/>
        <v>OK</v>
      </c>
      <c r="AB813" t="str">
        <f t="shared" si="124"/>
        <v>Valid</v>
      </c>
      <c r="AC813" t="str">
        <f>IF(OR(AB813="Invalid Discount",V813="Invalid Shipping"),
"Invalid",
IF(OR(Y813="Missing Region",
Z813="Missing Ship Mode",
AA813="Missing Discount",
X813="Flagged for Review"),
"Warning",
"Clean"))</f>
        <v>Clean</v>
      </c>
      <c r="AD813">
        <f t="shared" si="125"/>
        <v>0.2</v>
      </c>
      <c r="AE813">
        <f>N813*O813*(1-AD813)</f>
        <v>2577.2000000000003</v>
      </c>
      <c r="AF813">
        <f>AE813-R813</f>
        <v>1101.3300000000004</v>
      </c>
      <c r="AG813" s="3">
        <f t="shared" si="126"/>
        <v>0.42733586838429316</v>
      </c>
      <c r="AH813" t="str">
        <f t="shared" si="127"/>
        <v>December</v>
      </c>
      <c r="AI813">
        <f t="shared" si="128"/>
        <v>2024</v>
      </c>
    </row>
    <row r="814" spans="1:35">
      <c r="A814" t="s">
        <v>2523</v>
      </c>
      <c r="B814" s="2">
        <v>45458</v>
      </c>
      <c r="C814" s="2">
        <v>45463</v>
      </c>
      <c r="D814" t="s">
        <v>2524</v>
      </c>
      <c r="E814" t="s">
        <v>146</v>
      </c>
      <c r="F814" t="s">
        <v>51</v>
      </c>
      <c r="G814" t="s">
        <v>52</v>
      </c>
      <c r="H814" t="s">
        <v>243</v>
      </c>
      <c r="I814" t="s">
        <v>244</v>
      </c>
      <c r="J814" t="s">
        <v>55</v>
      </c>
      <c r="K814" t="s">
        <v>56</v>
      </c>
      <c r="L814" t="s">
        <v>2525</v>
      </c>
      <c r="M814" t="s">
        <v>64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46</v>
      </c>
      <c r="U814" t="s">
        <v>47</v>
      </c>
      <c r="V814" t="str">
        <f t="shared" si="119"/>
        <v>Valid</v>
      </c>
      <c r="W814">
        <f t="shared" si="120"/>
        <v>5</v>
      </c>
      <c r="Y814" t="str">
        <f t="shared" si="121"/>
        <v>OK</v>
      </c>
      <c r="Z814" t="str">
        <f t="shared" si="122"/>
        <v>OK</v>
      </c>
      <c r="AA814" t="str">
        <f t="shared" si="123"/>
        <v>OK</v>
      </c>
      <c r="AB814" t="str">
        <f t="shared" si="124"/>
        <v>Valid</v>
      </c>
      <c r="AC814" t="str">
        <f>IF(OR(AB814="Invalid Discount",V814="Invalid Shipping"),
"Invalid",
IF(OR(Y814="Missing Region",
Z814="Missing Ship Mode",
AA814="Missing Discount",
X814="Flagged for Review"),
"Warning",
"Clean"))</f>
        <v>Clean</v>
      </c>
      <c r="AD814">
        <f t="shared" si="125"/>
        <v>0</v>
      </c>
      <c r="AE814">
        <f>N814*O814*(1-AD814)</f>
        <v>17827.759999999998</v>
      </c>
      <c r="AF814">
        <f>AE814-R814</f>
        <v>3705.6299999999992</v>
      </c>
      <c r="AG814" s="3">
        <f t="shared" si="126"/>
        <v>0.20785729671029896</v>
      </c>
      <c r="AH814" t="str">
        <f t="shared" si="127"/>
        <v>June</v>
      </c>
      <c r="AI814">
        <f t="shared" si="128"/>
        <v>2024</v>
      </c>
    </row>
    <row r="815" spans="1:35">
      <c r="A815" t="s">
        <v>2526</v>
      </c>
      <c r="B815" s="2">
        <v>45753</v>
      </c>
      <c r="C815" s="2">
        <v>45757</v>
      </c>
      <c r="D815" t="s">
        <v>2527</v>
      </c>
      <c r="E815" t="s">
        <v>155</v>
      </c>
      <c r="F815" t="s">
        <v>38</v>
      </c>
      <c r="G815" t="s">
        <v>52</v>
      </c>
      <c r="H815" t="s">
        <v>53</v>
      </c>
      <c r="I815" t="s">
        <v>54</v>
      </c>
      <c r="J815" t="s">
        <v>55</v>
      </c>
      <c r="K815" t="s">
        <v>172</v>
      </c>
      <c r="L815" t="s">
        <v>1137</v>
      </c>
      <c r="M815" t="s">
        <v>73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46</v>
      </c>
      <c r="U815" t="s">
        <v>47</v>
      </c>
      <c r="V815" t="str">
        <f t="shared" si="119"/>
        <v>Valid</v>
      </c>
      <c r="W815">
        <f t="shared" si="120"/>
        <v>4</v>
      </c>
      <c r="Y815" t="str">
        <f t="shared" si="121"/>
        <v>OK</v>
      </c>
      <c r="Z815" t="str">
        <f t="shared" si="122"/>
        <v>OK</v>
      </c>
      <c r="AA815" t="str">
        <f t="shared" si="123"/>
        <v>OK</v>
      </c>
      <c r="AB815" t="str">
        <f t="shared" si="124"/>
        <v>Valid</v>
      </c>
      <c r="AC815" t="str">
        <f>IF(OR(AB815="Invalid Discount",V815="Invalid Shipping"),
"Invalid",
IF(OR(Y815="Missing Region",
Z815="Missing Ship Mode",
AA815="Missing Discount",
X815="Flagged for Review"),
"Warning",
"Clean"))</f>
        <v>Clean</v>
      </c>
      <c r="AD815">
        <f t="shared" si="125"/>
        <v>0</v>
      </c>
      <c r="AE815">
        <f>N815*O815*(1-AD815)</f>
        <v>2675.34</v>
      </c>
      <c r="AF815">
        <f>AE815-R815</f>
        <v>1079.4700000000003</v>
      </c>
      <c r="AG815" s="3">
        <f t="shared" si="126"/>
        <v>0.40348890234512258</v>
      </c>
      <c r="AH815" t="str">
        <f t="shared" si="127"/>
        <v>April</v>
      </c>
      <c r="AI815">
        <f t="shared" si="128"/>
        <v>2025</v>
      </c>
    </row>
    <row r="816" spans="1:35">
      <c r="A816" t="s">
        <v>2528</v>
      </c>
      <c r="B816" s="2">
        <v>45875</v>
      </c>
      <c r="C816" s="2">
        <v>45880</v>
      </c>
      <c r="D816" t="s">
        <v>2529</v>
      </c>
      <c r="E816" t="s">
        <v>67</v>
      </c>
      <c r="F816" t="s">
        <v>38</v>
      </c>
      <c r="G816" t="s">
        <v>77</v>
      </c>
      <c r="H816" t="s">
        <v>86</v>
      </c>
      <c r="I816" t="s">
        <v>87</v>
      </c>
      <c r="J816" t="s">
        <v>42</v>
      </c>
      <c r="K816" t="s">
        <v>105</v>
      </c>
      <c r="L816" t="s">
        <v>2530</v>
      </c>
      <c r="M816" t="s">
        <v>64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46</v>
      </c>
      <c r="U816" t="s">
        <v>47</v>
      </c>
      <c r="V816" t="str">
        <f t="shared" si="119"/>
        <v>Valid</v>
      </c>
      <c r="W816">
        <f t="shared" si="120"/>
        <v>5</v>
      </c>
      <c r="Y816" t="str">
        <f t="shared" si="121"/>
        <v>OK</v>
      </c>
      <c r="Z816" t="str">
        <f t="shared" si="122"/>
        <v>OK</v>
      </c>
      <c r="AA816" t="str">
        <f t="shared" si="123"/>
        <v>OK</v>
      </c>
      <c r="AB816" t="str">
        <f t="shared" si="124"/>
        <v>Valid</v>
      </c>
      <c r="AC816" t="str">
        <f>IF(OR(AB816="Invalid Discount",V816="Invalid Shipping"),
"Invalid",
IF(OR(Y816="Missing Region",
Z816="Missing Ship Mode",
AA816="Missing Discount",
X816="Flagged for Review"),
"Warning",
"Clean"))</f>
        <v>Clean</v>
      </c>
      <c r="AD816">
        <f t="shared" si="125"/>
        <v>0.25</v>
      </c>
      <c r="AE816">
        <f>N816*O816*(1-AD816)</f>
        <v>3563.91</v>
      </c>
      <c r="AF816">
        <f>AE816-R816</f>
        <v>924.21</v>
      </c>
      <c r="AG816" s="3">
        <f t="shared" si="126"/>
        <v>0.25932473042248544</v>
      </c>
      <c r="AH816" t="str">
        <f t="shared" si="127"/>
        <v>August</v>
      </c>
      <c r="AI816">
        <f t="shared" si="128"/>
        <v>2025</v>
      </c>
    </row>
    <row r="817" spans="1:35">
      <c r="A817" t="s">
        <v>2531</v>
      </c>
      <c r="B817" s="2">
        <v>45383</v>
      </c>
      <c r="C817" s="2">
        <v>45390</v>
      </c>
      <c r="D817" t="s">
        <v>2532</v>
      </c>
      <c r="E817" t="s">
        <v>176</v>
      </c>
      <c r="F817" t="s">
        <v>38</v>
      </c>
      <c r="G817" t="s">
        <v>52</v>
      </c>
      <c r="H817" t="s">
        <v>53</v>
      </c>
      <c r="I817" t="s">
        <v>54</v>
      </c>
      <c r="J817" t="s">
        <v>88</v>
      </c>
      <c r="K817" t="s">
        <v>289</v>
      </c>
      <c r="L817" t="s">
        <v>2533</v>
      </c>
      <c r="M817" t="s">
        <v>73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125</v>
      </c>
      <c r="U817" t="s">
        <v>82</v>
      </c>
      <c r="V817" t="str">
        <f t="shared" si="119"/>
        <v>Valid</v>
      </c>
      <c r="W817">
        <f t="shared" si="120"/>
        <v>7</v>
      </c>
      <c r="Y817" t="str">
        <f t="shared" si="121"/>
        <v>OK</v>
      </c>
      <c r="Z817" t="str">
        <f t="shared" si="122"/>
        <v>OK</v>
      </c>
      <c r="AA817" t="str">
        <f t="shared" si="123"/>
        <v>OK</v>
      </c>
      <c r="AB817" t="str">
        <f t="shared" si="124"/>
        <v>Valid</v>
      </c>
      <c r="AC817" t="str">
        <f>IF(OR(AB817="Invalid Discount",V817="Invalid Shipping"),
"Invalid",
IF(OR(Y817="Missing Region",
Z817="Missing Ship Mode",
AA817="Missing Discount",
X817="Flagged for Review"),
"Warning",
"Clean"))</f>
        <v>Clean</v>
      </c>
      <c r="AD817">
        <f t="shared" si="125"/>
        <v>0.15</v>
      </c>
      <c r="AE817">
        <f>N817*O817*(1-AD817)</f>
        <v>4259.0694999999996</v>
      </c>
      <c r="AF817">
        <f>AE817-R817</f>
        <v>1128.7494999999994</v>
      </c>
      <c r="AG817" s="3">
        <f t="shared" si="126"/>
        <v>0.26502255950507486</v>
      </c>
      <c r="AH817" t="str">
        <f t="shared" si="127"/>
        <v>April</v>
      </c>
      <c r="AI817">
        <f t="shared" si="128"/>
        <v>2024</v>
      </c>
    </row>
    <row r="818" spans="1:35">
      <c r="A818" t="s">
        <v>2534</v>
      </c>
      <c r="B818" s="2">
        <v>45623</v>
      </c>
      <c r="C818" s="2">
        <v>45626</v>
      </c>
      <c r="D818" t="s">
        <v>2535</v>
      </c>
      <c r="E818" t="s">
        <v>132</v>
      </c>
      <c r="F818" t="s">
        <v>51</v>
      </c>
      <c r="G818" t="s">
        <v>52</v>
      </c>
      <c r="H818" t="s">
        <v>243</v>
      </c>
      <c r="I818" t="s">
        <v>244</v>
      </c>
      <c r="J818" t="s">
        <v>55</v>
      </c>
      <c r="K818" t="s">
        <v>71</v>
      </c>
      <c r="L818" t="s">
        <v>2536</v>
      </c>
      <c r="M818" t="s">
        <v>64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46</v>
      </c>
      <c r="U818" t="s">
        <v>47</v>
      </c>
      <c r="V818" t="str">
        <f t="shared" si="119"/>
        <v>Valid</v>
      </c>
      <c r="W818">
        <f t="shared" si="120"/>
        <v>3</v>
      </c>
      <c r="Y818" t="str">
        <f t="shared" si="121"/>
        <v>OK</v>
      </c>
      <c r="Z818" t="str">
        <f t="shared" si="122"/>
        <v>OK</v>
      </c>
      <c r="AA818" t="str">
        <f t="shared" si="123"/>
        <v>OK</v>
      </c>
      <c r="AB818" t="str">
        <f t="shared" si="124"/>
        <v>Valid</v>
      </c>
      <c r="AC818" t="str">
        <f>IF(OR(AB818="Invalid Discount",V818="Invalid Shipping"),
"Invalid",
IF(OR(Y818="Missing Region",
Z818="Missing Ship Mode",
AA818="Missing Discount",
X818="Flagged for Review"),
"Warning",
"Clean"))</f>
        <v>Clean</v>
      </c>
      <c r="AD818">
        <f t="shared" si="125"/>
        <v>0.1</v>
      </c>
      <c r="AE818">
        <f>N818*O818*(1-AD818)</f>
        <v>786.87</v>
      </c>
      <c r="AF818">
        <f>AE818-R818</f>
        <v>288.37</v>
      </c>
      <c r="AG818" s="3">
        <f t="shared" si="126"/>
        <v>0.36647730883119195</v>
      </c>
      <c r="AH818" t="str">
        <f t="shared" si="127"/>
        <v>November</v>
      </c>
      <c r="AI818">
        <f t="shared" si="128"/>
        <v>2024</v>
      </c>
    </row>
    <row r="819" spans="1:35">
      <c r="A819" t="s">
        <v>2537</v>
      </c>
      <c r="B819" s="2">
        <v>45752</v>
      </c>
      <c r="C819" s="2">
        <v>45752</v>
      </c>
      <c r="D819" t="s">
        <v>2538</v>
      </c>
      <c r="E819" t="s">
        <v>146</v>
      </c>
      <c r="F819" t="s">
        <v>38</v>
      </c>
      <c r="G819" t="s">
        <v>52</v>
      </c>
      <c r="H819" t="s">
        <v>159</v>
      </c>
      <c r="I819" t="s">
        <v>160</v>
      </c>
      <c r="J819" t="s">
        <v>42</v>
      </c>
      <c r="K819" t="s">
        <v>167</v>
      </c>
      <c r="L819" t="s">
        <v>2539</v>
      </c>
      <c r="M819" t="s">
        <v>73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46</v>
      </c>
      <c r="U819" t="s">
        <v>47</v>
      </c>
      <c r="V819" t="str">
        <f t="shared" si="119"/>
        <v>Valid</v>
      </c>
      <c r="W819">
        <f t="shared" si="120"/>
        <v>0</v>
      </c>
      <c r="Y819" t="str">
        <f t="shared" si="121"/>
        <v>OK</v>
      </c>
      <c r="Z819" t="str">
        <f t="shared" si="122"/>
        <v>OK</v>
      </c>
      <c r="AA819" t="str">
        <f t="shared" si="123"/>
        <v>OK</v>
      </c>
      <c r="AB819" t="str">
        <f t="shared" si="124"/>
        <v>Valid</v>
      </c>
      <c r="AC819" t="str">
        <f>IF(OR(AB819="Invalid Discount",V819="Invalid Shipping"),
"Invalid",
IF(OR(Y819="Missing Region",
Z819="Missing Ship Mode",
AA819="Missing Discount",
X819="Flagged for Review"),
"Warning",
"Clean"))</f>
        <v>Clean</v>
      </c>
      <c r="AD819">
        <f t="shared" si="125"/>
        <v>0.25</v>
      </c>
      <c r="AE819">
        <f>N819*O819*(1-AD819)</f>
        <v>8233.6049999999996</v>
      </c>
      <c r="AF819">
        <f>AE819-R819</f>
        <v>3519.8149999999996</v>
      </c>
      <c r="AG819" s="3">
        <f t="shared" si="126"/>
        <v>0.42749378917254349</v>
      </c>
      <c r="AH819" t="str">
        <f t="shared" si="127"/>
        <v>April</v>
      </c>
      <c r="AI819">
        <f t="shared" si="128"/>
        <v>2025</v>
      </c>
    </row>
    <row r="820" spans="1:35">
      <c r="A820" t="s">
        <v>2540</v>
      </c>
      <c r="B820" s="2">
        <v>45564</v>
      </c>
      <c r="C820" s="2">
        <v>45570</v>
      </c>
      <c r="D820" t="s">
        <v>2541</v>
      </c>
      <c r="E820" t="s">
        <v>128</v>
      </c>
      <c r="F820" t="s">
        <v>51</v>
      </c>
      <c r="G820" t="s">
        <v>77</v>
      </c>
      <c r="H820" t="s">
        <v>78</v>
      </c>
      <c r="I820" t="s">
        <v>79</v>
      </c>
      <c r="J820" t="s">
        <v>42</v>
      </c>
      <c r="K820" t="s">
        <v>105</v>
      </c>
      <c r="L820" t="s">
        <v>2542</v>
      </c>
      <c r="M820" t="s">
        <v>64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46</v>
      </c>
      <c r="U820" t="s">
        <v>47</v>
      </c>
      <c r="V820" t="str">
        <f t="shared" si="119"/>
        <v>Valid</v>
      </c>
      <c r="W820">
        <f t="shared" si="120"/>
        <v>6</v>
      </c>
      <c r="Y820" t="str">
        <f t="shared" si="121"/>
        <v>OK</v>
      </c>
      <c r="Z820" t="str">
        <f t="shared" si="122"/>
        <v>OK</v>
      </c>
      <c r="AA820" t="str">
        <f t="shared" si="123"/>
        <v>OK</v>
      </c>
      <c r="AB820" t="str">
        <f t="shared" si="124"/>
        <v>Invalid Discount</v>
      </c>
      <c r="AC820" t="str">
        <f>IF(OR(AB820="Invalid Discount",V820="Invalid Shipping"),
"Invalid",
IF(OR(Y820="Missing Region",
Z820="Missing Ship Mode",
AA820="Missing Discount",
X820="Flagged for Review"),
"Warning",
"Clean"))</f>
        <v>Invalid</v>
      </c>
      <c r="AD820">
        <f t="shared" si="125"/>
        <v>-0.14000000000000001</v>
      </c>
      <c r="AE820">
        <f>N820*O820*(1-AD820)</f>
        <v>18067.084800000001</v>
      </c>
      <c r="AF820">
        <f>AE820-R820</f>
        <v>7978.4348000000009</v>
      </c>
      <c r="AG820" s="3">
        <f t="shared" si="126"/>
        <v>0.44160056192352631</v>
      </c>
      <c r="AH820" t="str">
        <f t="shared" si="127"/>
        <v>September</v>
      </c>
      <c r="AI820">
        <f t="shared" si="128"/>
        <v>2024</v>
      </c>
    </row>
    <row r="821" spans="1:35">
      <c r="A821" t="s">
        <v>2543</v>
      </c>
      <c r="B821" s="2">
        <v>45504</v>
      </c>
      <c r="C821" s="2">
        <v>45504</v>
      </c>
      <c r="D821" t="s">
        <v>2544</v>
      </c>
      <c r="E821" t="s">
        <v>37</v>
      </c>
      <c r="F821" t="s">
        <v>109</v>
      </c>
      <c r="G821" t="s">
        <v>68</v>
      </c>
      <c r="H821" t="s">
        <v>199</v>
      </c>
      <c r="I821" t="s">
        <v>200</v>
      </c>
      <c r="J821" t="s">
        <v>88</v>
      </c>
      <c r="K821" t="s">
        <v>289</v>
      </c>
      <c r="L821" t="s">
        <v>2545</v>
      </c>
      <c r="M821" t="s">
        <v>73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169</v>
      </c>
      <c r="U821" t="s">
        <v>82</v>
      </c>
      <c r="V821" t="str">
        <f t="shared" si="119"/>
        <v>Valid</v>
      </c>
      <c r="W821">
        <f t="shared" si="120"/>
        <v>0</v>
      </c>
      <c r="Y821" t="str">
        <f t="shared" si="121"/>
        <v>OK</v>
      </c>
      <c r="Z821" t="str">
        <f t="shared" si="122"/>
        <v>OK</v>
      </c>
      <c r="AA821" t="str">
        <f t="shared" si="123"/>
        <v>OK</v>
      </c>
      <c r="AB821" t="str">
        <f t="shared" si="124"/>
        <v>Valid</v>
      </c>
      <c r="AC821" t="str">
        <f>IF(OR(AB821="Invalid Discount",V821="Invalid Shipping"),
"Invalid",
IF(OR(Y821="Missing Region",
Z821="Missing Ship Mode",
AA821="Missing Discount",
X821="Flagged for Review"),
"Warning",
"Clean"))</f>
        <v>Clean</v>
      </c>
      <c r="AD821">
        <f t="shared" si="125"/>
        <v>0</v>
      </c>
      <c r="AE821">
        <f>N821*O821*(1-AD821)</f>
        <v>33968.080000000002</v>
      </c>
      <c r="AF821">
        <f>AE821-R821</f>
        <v>7065.6400000000031</v>
      </c>
      <c r="AG821" s="3">
        <f t="shared" si="126"/>
        <v>0.20800822419165294</v>
      </c>
      <c r="AH821" t="str">
        <f t="shared" si="127"/>
        <v>July</v>
      </c>
      <c r="AI821">
        <f t="shared" si="128"/>
        <v>2024</v>
      </c>
    </row>
    <row r="822" spans="1:35">
      <c r="A822" t="s">
        <v>2546</v>
      </c>
      <c r="B822" s="2">
        <v>45694</v>
      </c>
      <c r="C822" s="2">
        <v>45698</v>
      </c>
      <c r="D822" t="s">
        <v>2547</v>
      </c>
      <c r="E822" t="s">
        <v>76</v>
      </c>
      <c r="F822" t="s">
        <v>109</v>
      </c>
      <c r="G822" t="s">
        <v>39</v>
      </c>
      <c r="H822" t="s">
        <v>150</v>
      </c>
      <c r="I822" t="s">
        <v>151</v>
      </c>
      <c r="J822" t="s">
        <v>55</v>
      </c>
      <c r="K822" t="s">
        <v>172</v>
      </c>
      <c r="L822" t="s">
        <v>2548</v>
      </c>
      <c r="M822" t="s">
        <v>73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46</v>
      </c>
      <c r="U822" t="s">
        <v>47</v>
      </c>
      <c r="V822" t="str">
        <f t="shared" si="119"/>
        <v>Valid</v>
      </c>
      <c r="W822">
        <f t="shared" si="120"/>
        <v>4</v>
      </c>
      <c r="Y822" t="str">
        <f t="shared" si="121"/>
        <v>OK</v>
      </c>
      <c r="Z822" t="str">
        <f t="shared" si="122"/>
        <v>OK</v>
      </c>
      <c r="AA822" t="str">
        <f t="shared" si="123"/>
        <v>OK</v>
      </c>
      <c r="AB822" t="str">
        <f t="shared" si="124"/>
        <v>Valid</v>
      </c>
      <c r="AC822" t="str">
        <f>IF(OR(AB822="Invalid Discount",V822="Invalid Shipping"),
"Invalid",
IF(OR(Y822="Missing Region",
Z822="Missing Ship Mode",
AA822="Missing Discount",
X822="Flagged for Review"),
"Warning",
"Clean"))</f>
        <v>Clean</v>
      </c>
      <c r="AD822">
        <f t="shared" si="125"/>
        <v>0.2</v>
      </c>
      <c r="AE822">
        <f>N822*O822*(1-AD822)</f>
        <v>511.31200000000001</v>
      </c>
      <c r="AF822">
        <f>AE822-R822</f>
        <v>74.882000000000005</v>
      </c>
      <c r="AG822" s="3">
        <f t="shared" si="126"/>
        <v>0.14645069937728825</v>
      </c>
      <c r="AH822" t="str">
        <f t="shared" si="127"/>
        <v>February</v>
      </c>
      <c r="AI822">
        <f t="shared" si="128"/>
        <v>2025</v>
      </c>
    </row>
    <row r="823" spans="1:35">
      <c r="A823" t="s">
        <v>2549</v>
      </c>
      <c r="B823" s="2">
        <v>45476</v>
      </c>
      <c r="C823" s="2">
        <v>45479</v>
      </c>
      <c r="D823" t="s">
        <v>2550</v>
      </c>
      <c r="E823" t="s">
        <v>142</v>
      </c>
      <c r="F823" t="s">
        <v>104</v>
      </c>
      <c r="G823" t="s">
        <v>68</v>
      </c>
      <c r="H823" t="s">
        <v>189</v>
      </c>
      <c r="I823" t="s">
        <v>190</v>
      </c>
      <c r="J823" t="s">
        <v>88</v>
      </c>
      <c r="K823" t="s">
        <v>89</v>
      </c>
      <c r="L823" t="s">
        <v>2551</v>
      </c>
      <c r="M823" t="s">
        <v>64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46</v>
      </c>
      <c r="U823" t="s">
        <v>47</v>
      </c>
      <c r="V823" t="str">
        <f t="shared" si="119"/>
        <v>Valid</v>
      </c>
      <c r="W823">
        <f t="shared" si="120"/>
        <v>3</v>
      </c>
      <c r="Y823" t="str">
        <f t="shared" si="121"/>
        <v>OK</v>
      </c>
      <c r="Z823" t="str">
        <f t="shared" si="122"/>
        <v>OK</v>
      </c>
      <c r="AA823" t="str">
        <f t="shared" si="123"/>
        <v>OK</v>
      </c>
      <c r="AB823" t="str">
        <f t="shared" si="124"/>
        <v>Valid</v>
      </c>
      <c r="AC823" t="str">
        <f>IF(OR(AB823="Invalid Discount",V823="Invalid Shipping"),
"Invalid",
IF(OR(Y823="Missing Region",
Z823="Missing Ship Mode",
AA823="Missing Discount",
X823="Flagged for Review"),
"Warning",
"Clean"))</f>
        <v>Clean</v>
      </c>
      <c r="AD823">
        <f t="shared" si="125"/>
        <v>0.2</v>
      </c>
      <c r="AE823">
        <f>N823*O823*(1-AD823)</f>
        <v>10877.944000000001</v>
      </c>
      <c r="AF823">
        <f>AE823-R823</f>
        <v>1767.8040000000019</v>
      </c>
      <c r="AG823" s="3">
        <f t="shared" si="126"/>
        <v>0.16251269541376584</v>
      </c>
      <c r="AH823" t="str">
        <f t="shared" si="127"/>
        <v>July</v>
      </c>
      <c r="AI823">
        <f t="shared" si="128"/>
        <v>2024</v>
      </c>
    </row>
    <row r="824" spans="1:35">
      <c r="A824" t="s">
        <v>2552</v>
      </c>
      <c r="B824" s="2">
        <v>45577</v>
      </c>
      <c r="C824" s="2">
        <v>45573</v>
      </c>
      <c r="D824" t="s">
        <v>2553</v>
      </c>
      <c r="E824" t="s">
        <v>50</v>
      </c>
      <c r="F824" t="s">
        <v>104</v>
      </c>
      <c r="G824" t="s">
        <v>52</v>
      </c>
      <c r="H824" t="s">
        <v>180</v>
      </c>
      <c r="I824" t="s">
        <v>181</v>
      </c>
      <c r="J824" t="s">
        <v>55</v>
      </c>
      <c r="K824" t="s">
        <v>71</v>
      </c>
      <c r="L824" t="s">
        <v>2554</v>
      </c>
      <c r="M824" t="s">
        <v>45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125</v>
      </c>
      <c r="U824" t="s">
        <v>117</v>
      </c>
      <c r="V824" t="str">
        <f t="shared" si="119"/>
        <v>Invalid Shipping</v>
      </c>
      <c r="W824">
        <f t="shared" si="120"/>
        <v>-4</v>
      </c>
      <c r="Y824" t="str">
        <f t="shared" si="121"/>
        <v>OK</v>
      </c>
      <c r="Z824" t="str">
        <f t="shared" si="122"/>
        <v>OK</v>
      </c>
      <c r="AA824" t="str">
        <f t="shared" si="123"/>
        <v>OK</v>
      </c>
      <c r="AB824" t="str">
        <f t="shared" si="124"/>
        <v>Valid</v>
      </c>
      <c r="AC824" t="str">
        <f>IF(OR(AB824="Invalid Discount",V824="Invalid Shipping"),
"Invalid",
IF(OR(Y824="Missing Region",
Z824="Missing Ship Mode",
AA824="Missing Discount",
X824="Flagged for Review"),
"Warning",
"Clean"))</f>
        <v>Invalid</v>
      </c>
      <c r="AD824">
        <f t="shared" si="125"/>
        <v>0.2</v>
      </c>
      <c r="AE824">
        <f>N824*O824*(1-AD824)</f>
        <v>10246.528</v>
      </c>
      <c r="AF824">
        <f>AE824-R824</f>
        <v>1612.1080000000002</v>
      </c>
      <c r="AG824" s="3">
        <f t="shared" si="126"/>
        <v>0.15733212264681268</v>
      </c>
      <c r="AH824" t="str">
        <f t="shared" si="127"/>
        <v>October</v>
      </c>
      <c r="AI824">
        <f t="shared" si="128"/>
        <v>2024</v>
      </c>
    </row>
    <row r="825" spans="1:35">
      <c r="A825" t="s">
        <v>2555</v>
      </c>
      <c r="B825" s="2">
        <v>45663</v>
      </c>
      <c r="C825" s="2">
        <v>45669</v>
      </c>
      <c r="D825" t="s">
        <v>2556</v>
      </c>
      <c r="E825" t="s">
        <v>50</v>
      </c>
      <c r="F825" t="s">
        <v>109</v>
      </c>
      <c r="G825" t="s">
        <v>77</v>
      </c>
      <c r="H825" t="s">
        <v>204</v>
      </c>
      <c r="I825" t="s">
        <v>205</v>
      </c>
      <c r="J825" t="s">
        <v>42</v>
      </c>
      <c r="K825" t="s">
        <v>43</v>
      </c>
      <c r="L825" t="s">
        <v>2557</v>
      </c>
      <c r="M825" t="s">
        <v>58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46</v>
      </c>
      <c r="U825" t="s">
        <v>47</v>
      </c>
      <c r="V825" t="str">
        <f t="shared" si="119"/>
        <v>Valid</v>
      </c>
      <c r="W825">
        <f t="shared" si="120"/>
        <v>6</v>
      </c>
      <c r="Y825" t="str">
        <f t="shared" si="121"/>
        <v>OK</v>
      </c>
      <c r="Z825" t="str">
        <f t="shared" si="122"/>
        <v>OK</v>
      </c>
      <c r="AA825" t="str">
        <f t="shared" si="123"/>
        <v>OK</v>
      </c>
      <c r="AB825" t="str">
        <f t="shared" si="124"/>
        <v>Valid</v>
      </c>
      <c r="AC825" t="str">
        <f>IF(OR(AB825="Invalid Discount",V825="Invalid Shipping"),
"Invalid",
IF(OR(Y825="Missing Region",
Z825="Missing Ship Mode",
AA825="Missing Discount",
X825="Flagged for Review"),
"Warning",
"Clean"))</f>
        <v>Clean</v>
      </c>
      <c r="AD825">
        <f t="shared" si="125"/>
        <v>0.15</v>
      </c>
      <c r="AE825">
        <f>N825*O825*(1-AD825)</f>
        <v>1704.2415000000001</v>
      </c>
      <c r="AF825">
        <f>AE825-R825</f>
        <v>746.69150000000013</v>
      </c>
      <c r="AG825" s="3">
        <f t="shared" si="126"/>
        <v>0.43813714194848563</v>
      </c>
      <c r="AH825" t="str">
        <f t="shared" si="127"/>
        <v>January</v>
      </c>
      <c r="AI825">
        <f t="shared" si="128"/>
        <v>2025</v>
      </c>
    </row>
    <row r="826" spans="1:35">
      <c r="A826" t="s">
        <v>2558</v>
      </c>
      <c r="B826" s="2">
        <v>45737</v>
      </c>
      <c r="C826" s="2">
        <v>45738</v>
      </c>
      <c r="D826" t="s">
        <v>2559</v>
      </c>
      <c r="E826" t="s">
        <v>128</v>
      </c>
      <c r="F826" t="s">
        <v>38</v>
      </c>
      <c r="G826" t="s">
        <v>77</v>
      </c>
      <c r="H826" t="s">
        <v>204</v>
      </c>
      <c r="I826" t="s">
        <v>205</v>
      </c>
      <c r="J826" t="s">
        <v>42</v>
      </c>
      <c r="K826" t="s">
        <v>43</v>
      </c>
      <c r="L826" t="s">
        <v>2560</v>
      </c>
      <c r="M826" t="s">
        <v>64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46</v>
      </c>
      <c r="U826" t="s">
        <v>47</v>
      </c>
      <c r="V826" t="str">
        <f t="shared" si="119"/>
        <v>Valid</v>
      </c>
      <c r="W826">
        <f t="shared" si="120"/>
        <v>1</v>
      </c>
      <c r="Y826" t="str">
        <f t="shared" si="121"/>
        <v>OK</v>
      </c>
      <c r="Z826" t="str">
        <f t="shared" si="122"/>
        <v>OK</v>
      </c>
      <c r="AA826" t="str">
        <f t="shared" si="123"/>
        <v>OK</v>
      </c>
      <c r="AB826" t="str">
        <f t="shared" si="124"/>
        <v>Valid</v>
      </c>
      <c r="AC826" t="str">
        <f>IF(OR(AB826="Invalid Discount",V826="Invalid Shipping"),
"Invalid",
IF(OR(Y826="Missing Region",
Z826="Missing Ship Mode",
AA826="Missing Discount",
X826="Flagged for Review"),
"Warning",
"Clean"))</f>
        <v>Clean</v>
      </c>
      <c r="AD826">
        <f t="shared" si="125"/>
        <v>0.05</v>
      </c>
      <c r="AE826">
        <f>N826*O826*(1-AD826)</f>
        <v>33719.223999999995</v>
      </c>
      <c r="AF826">
        <f>AE826-R826</f>
        <v>4794.7939999999944</v>
      </c>
      <c r="AG826" s="3">
        <f t="shared" si="126"/>
        <v>0.14219763776295669</v>
      </c>
      <c r="AH826" t="str">
        <f t="shared" si="127"/>
        <v>March</v>
      </c>
      <c r="AI826">
        <f t="shared" si="128"/>
        <v>2025</v>
      </c>
    </row>
    <row r="827" spans="1:35">
      <c r="A827" t="s">
        <v>2561</v>
      </c>
      <c r="B827" s="2">
        <v>45763</v>
      </c>
      <c r="C827" s="2">
        <v>45764</v>
      </c>
      <c r="D827" t="s">
        <v>2562</v>
      </c>
      <c r="E827" t="s">
        <v>85</v>
      </c>
      <c r="F827" t="s">
        <v>51</v>
      </c>
      <c r="G827" t="s">
        <v>39</v>
      </c>
      <c r="H827" t="s">
        <v>150</v>
      </c>
      <c r="I827" t="s">
        <v>151</v>
      </c>
      <c r="J827" t="s">
        <v>88</v>
      </c>
      <c r="K827" t="s">
        <v>289</v>
      </c>
      <c r="L827" t="s">
        <v>2563</v>
      </c>
      <c r="M827" t="s">
        <v>64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46</v>
      </c>
      <c r="U827" t="s">
        <v>47</v>
      </c>
      <c r="V827" t="str">
        <f t="shared" si="119"/>
        <v>Valid</v>
      </c>
      <c r="W827">
        <f t="shared" si="120"/>
        <v>1</v>
      </c>
      <c r="Y827" t="str">
        <f t="shared" si="121"/>
        <v>OK</v>
      </c>
      <c r="Z827" t="str">
        <f t="shared" si="122"/>
        <v>OK</v>
      </c>
      <c r="AA827" t="str">
        <f t="shared" si="123"/>
        <v>OK</v>
      </c>
      <c r="AB827" t="str">
        <f t="shared" si="124"/>
        <v>Valid</v>
      </c>
      <c r="AC827" t="str">
        <f>IF(OR(AB827="Invalid Discount",V827="Invalid Shipping"),
"Invalid",
IF(OR(Y827="Missing Region",
Z827="Missing Ship Mode",
AA827="Missing Discount",
X827="Flagged for Review"),
"Warning",
"Clean"))</f>
        <v>Clean</v>
      </c>
      <c r="AD827">
        <f t="shared" si="125"/>
        <v>0</v>
      </c>
      <c r="AE827">
        <f>N827*O827*(1-AD827)</f>
        <v>2720.17</v>
      </c>
      <c r="AF827">
        <f>AE827-R827</f>
        <v>885.94</v>
      </c>
      <c r="AG827" s="3">
        <f t="shared" si="126"/>
        <v>0.3256928794891496</v>
      </c>
      <c r="AH827" t="str">
        <f t="shared" si="127"/>
        <v>April</v>
      </c>
      <c r="AI827">
        <f t="shared" si="128"/>
        <v>2025</v>
      </c>
    </row>
    <row r="828" spans="1:35">
      <c r="A828" t="s">
        <v>2564</v>
      </c>
      <c r="B828" s="2">
        <v>45879</v>
      </c>
      <c r="C828" s="2">
        <v>45883</v>
      </c>
      <c r="D828" t="s">
        <v>2565</v>
      </c>
      <c r="E828" t="s">
        <v>103</v>
      </c>
      <c r="F828" t="s">
        <v>38</v>
      </c>
      <c r="G828" t="s">
        <v>77</v>
      </c>
      <c r="H828" t="s">
        <v>40</v>
      </c>
      <c r="I828" t="s">
        <v>123</v>
      </c>
      <c r="J828" t="s">
        <v>88</v>
      </c>
      <c r="K828" t="s">
        <v>89</v>
      </c>
      <c r="L828" t="s">
        <v>2566</v>
      </c>
      <c r="M828" t="s">
        <v>73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46</v>
      </c>
      <c r="U828" t="s">
        <v>47</v>
      </c>
      <c r="V828" t="str">
        <f t="shared" si="119"/>
        <v>Valid</v>
      </c>
      <c r="W828">
        <f t="shared" si="120"/>
        <v>4</v>
      </c>
      <c r="Y828" t="str">
        <f t="shared" si="121"/>
        <v>OK</v>
      </c>
      <c r="Z828" t="str">
        <f t="shared" si="122"/>
        <v>OK</v>
      </c>
      <c r="AA828" t="str">
        <f t="shared" si="123"/>
        <v>OK</v>
      </c>
      <c r="AB828" t="str">
        <f t="shared" si="124"/>
        <v>Valid</v>
      </c>
      <c r="AC828" t="str">
        <f>IF(OR(AB828="Invalid Discount",V828="Invalid Shipping"),
"Invalid",
IF(OR(Y828="Missing Region",
Z828="Missing Ship Mode",
AA828="Missing Discount",
X828="Flagged for Review"),
"Warning",
"Clean"))</f>
        <v>Clean</v>
      </c>
      <c r="AD828">
        <f t="shared" si="125"/>
        <v>0.25</v>
      </c>
      <c r="AE828">
        <f>N828*O828*(1-AD828)</f>
        <v>8213.0249999999996</v>
      </c>
      <c r="AF828">
        <f>AE828-R828</f>
        <v>2643.7249999999995</v>
      </c>
      <c r="AG828" s="3">
        <f t="shared" si="126"/>
        <v>0.32189418636860345</v>
      </c>
      <c r="AH828" t="str">
        <f t="shared" si="127"/>
        <v>August</v>
      </c>
      <c r="AI828">
        <f t="shared" si="128"/>
        <v>2025</v>
      </c>
    </row>
    <row r="829" spans="1:35">
      <c r="A829" t="s">
        <v>2567</v>
      </c>
      <c r="B829" s="2">
        <v>45620</v>
      </c>
      <c r="C829" s="2">
        <v>45627</v>
      </c>
      <c r="D829" t="s">
        <v>2568</v>
      </c>
      <c r="E829" t="s">
        <v>128</v>
      </c>
      <c r="F829" t="s">
        <v>109</v>
      </c>
      <c r="G829" t="s">
        <v>68</v>
      </c>
      <c r="H829" t="s">
        <v>262</v>
      </c>
      <c r="I829" t="s">
        <v>263</v>
      </c>
      <c r="J829" t="s">
        <v>42</v>
      </c>
      <c r="K829" t="s">
        <v>43</v>
      </c>
      <c r="L829" t="s">
        <v>2569</v>
      </c>
      <c r="M829" t="s">
        <v>58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46</v>
      </c>
      <c r="U829" t="s">
        <v>82</v>
      </c>
      <c r="V829" t="str">
        <f t="shared" si="119"/>
        <v>Valid</v>
      </c>
      <c r="W829">
        <f t="shared" si="120"/>
        <v>7</v>
      </c>
      <c r="Y829" t="str">
        <f t="shared" si="121"/>
        <v>OK</v>
      </c>
      <c r="Z829" t="str">
        <f t="shared" si="122"/>
        <v>OK</v>
      </c>
      <c r="AA829" t="str">
        <f t="shared" si="123"/>
        <v>OK</v>
      </c>
      <c r="AB829" t="str">
        <f t="shared" si="124"/>
        <v>Valid</v>
      </c>
      <c r="AC829" t="str">
        <f>IF(OR(AB829="Invalid Discount",V829="Invalid Shipping"),
"Invalid",
IF(OR(Y829="Missing Region",
Z829="Missing Ship Mode",
AA829="Missing Discount",
X829="Flagged for Review"),
"Warning",
"Clean"))</f>
        <v>Clean</v>
      </c>
      <c r="AD829">
        <f t="shared" si="125"/>
        <v>0.25</v>
      </c>
      <c r="AE829">
        <f>N829*O829*(1-AD829)</f>
        <v>633.66750000000002</v>
      </c>
      <c r="AF829">
        <f>AE829-R829</f>
        <v>113.19749999999999</v>
      </c>
      <c r="AG829" s="3">
        <f t="shared" si="126"/>
        <v>0.17863863934950111</v>
      </c>
      <c r="AH829" t="str">
        <f t="shared" si="127"/>
        <v>November</v>
      </c>
      <c r="AI829">
        <f t="shared" si="128"/>
        <v>2024</v>
      </c>
    </row>
    <row r="830" spans="1:35">
      <c r="A830" t="s">
        <v>2570</v>
      </c>
      <c r="B830" s="2">
        <v>45940</v>
      </c>
      <c r="C830" s="2">
        <v>45941</v>
      </c>
      <c r="D830" t="s">
        <v>2571</v>
      </c>
      <c r="E830" t="s">
        <v>37</v>
      </c>
      <c r="F830" t="s">
        <v>104</v>
      </c>
      <c r="G830" t="s">
        <v>52</v>
      </c>
      <c r="H830" t="s">
        <v>53</v>
      </c>
      <c r="I830" t="s">
        <v>54</v>
      </c>
      <c r="J830" t="s">
        <v>55</v>
      </c>
      <c r="K830" t="s">
        <v>80</v>
      </c>
      <c r="L830" t="s">
        <v>2572</v>
      </c>
      <c r="M830" t="s">
        <v>45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169</v>
      </c>
      <c r="U830" t="s">
        <v>82</v>
      </c>
      <c r="V830" t="str">
        <f t="shared" si="119"/>
        <v>Valid</v>
      </c>
      <c r="W830">
        <f t="shared" si="120"/>
        <v>1</v>
      </c>
      <c r="Y830" t="str">
        <f t="shared" si="121"/>
        <v>OK</v>
      </c>
      <c r="Z830" t="str">
        <f t="shared" si="122"/>
        <v>OK</v>
      </c>
      <c r="AA830" t="str">
        <f t="shared" si="123"/>
        <v>OK</v>
      </c>
      <c r="AB830" t="str">
        <f t="shared" si="124"/>
        <v>Valid</v>
      </c>
      <c r="AC830" t="str">
        <f>IF(OR(AB830="Invalid Discount",V830="Invalid Shipping"),
"Invalid",
IF(OR(Y830="Missing Region",
Z830="Missing Ship Mode",
AA830="Missing Discount",
X830="Flagged for Review"),
"Warning",
"Clean"))</f>
        <v>Clean</v>
      </c>
      <c r="AD830">
        <f t="shared" si="125"/>
        <v>0.05</v>
      </c>
      <c r="AE830">
        <f>N830*O830*(1-AD830)</f>
        <v>25216.534</v>
      </c>
      <c r="AF830">
        <f>AE830-R830</f>
        <v>10999.593999999999</v>
      </c>
      <c r="AG830" s="3">
        <f t="shared" si="126"/>
        <v>0.4362056260388521</v>
      </c>
      <c r="AH830" t="str">
        <f t="shared" si="127"/>
        <v>October</v>
      </c>
      <c r="AI830">
        <f t="shared" si="128"/>
        <v>2025</v>
      </c>
    </row>
    <row r="831" spans="1:35">
      <c r="A831" t="s">
        <v>2573</v>
      </c>
      <c r="B831" s="2">
        <v>45348</v>
      </c>
      <c r="C831" s="2">
        <v>45350</v>
      </c>
      <c r="D831" t="s">
        <v>2574</v>
      </c>
      <c r="E831" t="s">
        <v>103</v>
      </c>
      <c r="F831" t="s">
        <v>51</v>
      </c>
      <c r="G831" t="s">
        <v>77</v>
      </c>
      <c r="H831" t="s">
        <v>204</v>
      </c>
      <c r="I831" t="s">
        <v>205</v>
      </c>
      <c r="J831" t="s">
        <v>55</v>
      </c>
      <c r="K831" t="s">
        <v>71</v>
      </c>
      <c r="L831" t="s">
        <v>2575</v>
      </c>
      <c r="M831" t="s">
        <v>45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46</v>
      </c>
      <c r="U831" t="s">
        <v>47</v>
      </c>
      <c r="V831" t="str">
        <f t="shared" si="119"/>
        <v>Valid</v>
      </c>
      <c r="W831">
        <f t="shared" si="120"/>
        <v>2</v>
      </c>
      <c r="Y831" t="str">
        <f t="shared" si="121"/>
        <v>OK</v>
      </c>
      <c r="Z831" t="str">
        <f t="shared" si="122"/>
        <v>OK</v>
      </c>
      <c r="AA831" t="str">
        <f t="shared" si="123"/>
        <v>OK</v>
      </c>
      <c r="AB831" t="str">
        <f t="shared" si="124"/>
        <v>Valid</v>
      </c>
      <c r="AC831" t="str">
        <f>IF(OR(AB831="Invalid Discount",V831="Invalid Shipping"),
"Invalid",
IF(OR(Y831="Missing Region",
Z831="Missing Ship Mode",
AA831="Missing Discount",
X831="Flagged for Review"),
"Warning",
"Clean"))</f>
        <v>Clean</v>
      </c>
      <c r="AD831">
        <f t="shared" si="125"/>
        <v>0.1</v>
      </c>
      <c r="AE831">
        <f>N831*O831*(1-AD831)</f>
        <v>6521.3820000000005</v>
      </c>
      <c r="AF831">
        <f>AE831-R831</f>
        <v>2010.2820000000002</v>
      </c>
      <c r="AG831" s="3">
        <f t="shared" si="126"/>
        <v>0.30826012032418892</v>
      </c>
      <c r="AH831" t="str">
        <f t="shared" si="127"/>
        <v>February</v>
      </c>
      <c r="AI831">
        <f t="shared" si="128"/>
        <v>2024</v>
      </c>
    </row>
    <row r="832" spans="1:35">
      <c r="A832" t="s">
        <v>2576</v>
      </c>
      <c r="B832" s="2">
        <v>45853</v>
      </c>
      <c r="C832" s="2">
        <v>45856</v>
      </c>
      <c r="D832" t="s">
        <v>2577</v>
      </c>
      <c r="E832" t="s">
        <v>103</v>
      </c>
      <c r="F832" t="s">
        <v>51</v>
      </c>
      <c r="G832" t="s">
        <v>219</v>
      </c>
      <c r="H832" t="s">
        <v>262</v>
      </c>
      <c r="I832" t="s">
        <v>263</v>
      </c>
      <c r="J832" t="s">
        <v>88</v>
      </c>
      <c r="K832" t="s">
        <v>289</v>
      </c>
      <c r="L832" t="s">
        <v>2578</v>
      </c>
      <c r="M832" t="s">
        <v>64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46</v>
      </c>
      <c r="U832" t="s">
        <v>47</v>
      </c>
      <c r="V832" t="str">
        <f t="shared" si="119"/>
        <v>Valid</v>
      </c>
      <c r="W832">
        <f t="shared" si="120"/>
        <v>3</v>
      </c>
      <c r="Y832" t="str">
        <f t="shared" si="121"/>
        <v>Missing Region</v>
      </c>
      <c r="Z832" t="str">
        <f t="shared" si="122"/>
        <v>OK</v>
      </c>
      <c r="AA832" t="str">
        <f t="shared" si="123"/>
        <v>OK</v>
      </c>
      <c r="AB832" t="str">
        <f t="shared" si="124"/>
        <v>Valid</v>
      </c>
      <c r="AC832" t="str">
        <f>IF(OR(AB832="Invalid Discount",V832="Invalid Shipping"),
"Invalid",
IF(OR(Y832="Missing Region",
Z832="Missing Ship Mode",
AA832="Missing Discount",
X832="Flagged for Review"),
"Warning",
"Clean"))</f>
        <v>Warning</v>
      </c>
      <c r="AD832">
        <f t="shared" si="125"/>
        <v>0.1</v>
      </c>
      <c r="AE832">
        <f>N832*O832*(1-AD832)</f>
        <v>12867.552000000001</v>
      </c>
      <c r="AF832">
        <f>AE832-R832</f>
        <v>2798.612000000001</v>
      </c>
      <c r="AG832" s="3">
        <f t="shared" si="126"/>
        <v>0.21749373929089236</v>
      </c>
      <c r="AH832" t="str">
        <f t="shared" si="127"/>
        <v>July</v>
      </c>
      <c r="AI832">
        <f t="shared" si="128"/>
        <v>2025</v>
      </c>
    </row>
    <row r="833" spans="1:35">
      <c r="A833" t="s">
        <v>2579</v>
      </c>
      <c r="B833" s="2">
        <v>45750</v>
      </c>
      <c r="C833" s="2">
        <v>45750</v>
      </c>
      <c r="D833" t="s">
        <v>2580</v>
      </c>
      <c r="E833" t="s">
        <v>176</v>
      </c>
      <c r="F833" t="s">
        <v>109</v>
      </c>
      <c r="G833" t="s">
        <v>219</v>
      </c>
      <c r="H833" t="s">
        <v>251</v>
      </c>
      <c r="I833" t="s">
        <v>252</v>
      </c>
      <c r="J833" t="s">
        <v>55</v>
      </c>
      <c r="K833" t="s">
        <v>80</v>
      </c>
      <c r="L833" t="s">
        <v>2581</v>
      </c>
      <c r="M833" t="s">
        <v>64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169</v>
      </c>
      <c r="U833" t="s">
        <v>117</v>
      </c>
      <c r="V833" t="str">
        <f t="shared" si="119"/>
        <v>Valid</v>
      </c>
      <c r="W833">
        <f t="shared" si="120"/>
        <v>0</v>
      </c>
      <c r="Y833" t="str">
        <f t="shared" si="121"/>
        <v>Missing Region</v>
      </c>
      <c r="Z833" t="str">
        <f t="shared" si="122"/>
        <v>OK</v>
      </c>
      <c r="AA833" t="str">
        <f t="shared" si="123"/>
        <v>OK</v>
      </c>
      <c r="AB833" t="str">
        <f t="shared" si="124"/>
        <v>Valid</v>
      </c>
      <c r="AC833" t="str">
        <f>IF(OR(AB833="Invalid Discount",V833="Invalid Shipping"),
"Invalid",
IF(OR(Y833="Missing Region",
Z833="Missing Ship Mode",
AA833="Missing Discount",
X833="Flagged for Review"),
"Warning",
"Clean"))</f>
        <v>Warning</v>
      </c>
      <c r="AD833">
        <f t="shared" si="125"/>
        <v>0.15</v>
      </c>
      <c r="AE833">
        <f>N833*O833*(1-AD833)</f>
        <v>26489.654999999999</v>
      </c>
      <c r="AF833">
        <f>AE833-R833</f>
        <v>10671.195</v>
      </c>
      <c r="AG833" s="3">
        <f t="shared" si="126"/>
        <v>0.40284386489744772</v>
      </c>
      <c r="AH833" t="str">
        <f t="shared" si="127"/>
        <v>April</v>
      </c>
      <c r="AI833">
        <f t="shared" si="128"/>
        <v>2025</v>
      </c>
    </row>
    <row r="834" spans="1:35">
      <c r="A834" t="s">
        <v>2582</v>
      </c>
      <c r="B834" s="2">
        <v>45803</v>
      </c>
      <c r="C834" s="2">
        <v>45805</v>
      </c>
      <c r="D834" t="s">
        <v>2583</v>
      </c>
      <c r="E834" t="s">
        <v>279</v>
      </c>
      <c r="F834" t="s">
        <v>51</v>
      </c>
      <c r="G834" t="s">
        <v>68</v>
      </c>
      <c r="H834" t="s">
        <v>98</v>
      </c>
      <c r="I834" t="s">
        <v>99</v>
      </c>
      <c r="J834" t="s">
        <v>88</v>
      </c>
      <c r="K834" t="s">
        <v>185</v>
      </c>
      <c r="L834" t="s">
        <v>2584</v>
      </c>
      <c r="M834" t="s">
        <v>45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46</v>
      </c>
      <c r="U834" t="s">
        <v>47</v>
      </c>
      <c r="V834" t="str">
        <f t="shared" si="119"/>
        <v>Valid</v>
      </c>
      <c r="W834">
        <f t="shared" si="120"/>
        <v>2</v>
      </c>
      <c r="Y834" t="str">
        <f t="shared" si="121"/>
        <v>OK</v>
      </c>
      <c r="Z834" t="str">
        <f t="shared" si="122"/>
        <v>OK</v>
      </c>
      <c r="AA834" t="str">
        <f t="shared" si="123"/>
        <v>OK</v>
      </c>
      <c r="AB834" t="str">
        <f t="shared" si="124"/>
        <v>Valid</v>
      </c>
      <c r="AC834" t="str">
        <f>IF(OR(AB834="Invalid Discount",V834="Invalid Shipping"),
"Invalid",
IF(OR(Y834="Missing Region",
Z834="Missing Ship Mode",
AA834="Missing Discount",
X834="Flagged for Review"),
"Warning",
"Clean"))</f>
        <v>Clean</v>
      </c>
      <c r="AD834">
        <f t="shared" si="125"/>
        <v>0.05</v>
      </c>
      <c r="AE834">
        <f>N834*O834*(1-AD834)</f>
        <v>36782.271000000008</v>
      </c>
      <c r="AF834">
        <f>AE834-R834</f>
        <v>10879.461000000007</v>
      </c>
      <c r="AG834" s="3">
        <f t="shared" si="126"/>
        <v>0.29578002402298664</v>
      </c>
      <c r="AH834" t="str">
        <f t="shared" si="127"/>
        <v>May</v>
      </c>
      <c r="AI834">
        <f t="shared" si="128"/>
        <v>2025</v>
      </c>
    </row>
    <row r="835" spans="1:35">
      <c r="A835" t="s">
        <v>2585</v>
      </c>
      <c r="B835" s="2">
        <v>45447</v>
      </c>
      <c r="C835" s="2">
        <v>45447</v>
      </c>
      <c r="D835" t="s">
        <v>2586</v>
      </c>
      <c r="E835" t="s">
        <v>132</v>
      </c>
      <c r="F835" t="s">
        <v>109</v>
      </c>
      <c r="G835" t="s">
        <v>52</v>
      </c>
      <c r="H835" t="s">
        <v>113</v>
      </c>
      <c r="I835" t="s">
        <v>114</v>
      </c>
      <c r="J835" t="s">
        <v>55</v>
      </c>
      <c r="K835" t="s">
        <v>172</v>
      </c>
      <c r="L835" t="s">
        <v>2587</v>
      </c>
      <c r="M835" t="s">
        <v>64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46</v>
      </c>
      <c r="U835" t="s">
        <v>47</v>
      </c>
      <c r="V835" t="str">
        <f t="shared" ref="V835:V898" si="129">IF(C835&lt;B835,"Invalid Shipping","Valid")</f>
        <v>Valid</v>
      </c>
      <c r="W835">
        <f t="shared" ref="W835:W898" si="130">C835-B835</f>
        <v>0</v>
      </c>
      <c r="Y835" t="str">
        <f t="shared" ref="Y835:Y898" si="131">IF(G835="Unknown","Missing Region","OK")</f>
        <v>OK</v>
      </c>
      <c r="Z835" t="str">
        <f t="shared" ref="Z835:Z898" si="132">IF(M835="Unknown","Missing Ship Mode","OK")</f>
        <v>OK</v>
      </c>
      <c r="AA835" t="str">
        <f t="shared" ref="AA835:AA898" si="133">IF(P835="","Missing Discount","OK")</f>
        <v>OK</v>
      </c>
      <c r="AB835" t="str">
        <f t="shared" ref="AB835:AB898" si="134">IF(OR(P835&lt;0,P835&gt;1),"Invalid Discount","Valid")</f>
        <v>Valid</v>
      </c>
      <c r="AC835" t="str">
        <f>IF(OR(AB835="Invalid Discount",V835="Invalid Shipping"),
"Invalid",
IF(OR(Y835="Missing Region",
Z835="Missing Ship Mode",
AA835="Missing Discount",
X835="Flagged for Review"),
"Warning",
"Clean"))</f>
        <v>Clean</v>
      </c>
      <c r="AD835">
        <f t="shared" ref="AD835:AD898" si="135">IF(P835="",0,P835)</f>
        <v>0</v>
      </c>
      <c r="AE835">
        <f>N835*O835*(1-AD835)</f>
        <v>23696.400000000001</v>
      </c>
      <c r="AF835">
        <f>AE835-R835</f>
        <v>5586.630000000001</v>
      </c>
      <c r="AG835" s="3">
        <f t="shared" ref="AG835:AG898" si="136">IF(AE835=0,0,AF835/AE835)</f>
        <v>0.23575859624246723</v>
      </c>
      <c r="AH835" t="str">
        <f t="shared" ref="AH835:AH898" si="137">TEXT(B835,"mmmm")</f>
        <v>June</v>
      </c>
      <c r="AI835">
        <f t="shared" ref="AI835:AI898" si="138">YEAR(B835)</f>
        <v>2024</v>
      </c>
    </row>
    <row r="836" spans="1:35">
      <c r="A836" t="s">
        <v>2588</v>
      </c>
      <c r="B836" s="2">
        <v>45583</v>
      </c>
      <c r="C836" s="2">
        <v>45587</v>
      </c>
      <c r="D836" t="s">
        <v>2589</v>
      </c>
      <c r="E836" t="s">
        <v>142</v>
      </c>
      <c r="F836" t="s">
        <v>109</v>
      </c>
      <c r="G836" t="s">
        <v>68</v>
      </c>
      <c r="H836" t="s">
        <v>69</v>
      </c>
      <c r="I836" t="s">
        <v>70</v>
      </c>
      <c r="J836" t="s">
        <v>42</v>
      </c>
      <c r="K836" t="s">
        <v>62</v>
      </c>
      <c r="L836" t="s">
        <v>2590</v>
      </c>
      <c r="M836" t="s">
        <v>64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46</v>
      </c>
      <c r="U836" t="s">
        <v>47</v>
      </c>
      <c r="V836" t="str">
        <f t="shared" si="129"/>
        <v>Valid</v>
      </c>
      <c r="W836">
        <f t="shared" si="130"/>
        <v>4</v>
      </c>
      <c r="Y836" t="str">
        <f t="shared" si="131"/>
        <v>OK</v>
      </c>
      <c r="Z836" t="str">
        <f t="shared" si="132"/>
        <v>OK</v>
      </c>
      <c r="AA836" t="str">
        <f t="shared" si="133"/>
        <v>OK</v>
      </c>
      <c r="AB836" t="str">
        <f t="shared" si="134"/>
        <v>Valid</v>
      </c>
      <c r="AC836" t="str">
        <f>IF(OR(AB836="Invalid Discount",V836="Invalid Shipping"),
"Invalid",
IF(OR(Y836="Missing Region",
Z836="Missing Ship Mode",
AA836="Missing Discount",
X836="Flagged for Review"),
"Warning",
"Clean"))</f>
        <v>Clean</v>
      </c>
      <c r="AD836">
        <f t="shared" si="135"/>
        <v>0</v>
      </c>
      <c r="AE836">
        <f>N836*O836*(1-AD836)</f>
        <v>4047.66</v>
      </c>
      <c r="AF836">
        <f>AE836-R836</f>
        <v>968.73</v>
      </c>
      <c r="AG836" s="3">
        <f t="shared" si="136"/>
        <v>0.23933087265234729</v>
      </c>
      <c r="AH836" t="str">
        <f t="shared" si="137"/>
        <v>October</v>
      </c>
      <c r="AI836">
        <f t="shared" si="138"/>
        <v>2024</v>
      </c>
    </row>
    <row r="837" spans="1:35">
      <c r="A837" t="s">
        <v>2591</v>
      </c>
      <c r="B837" s="2">
        <v>45926</v>
      </c>
      <c r="C837" s="2">
        <v>45934</v>
      </c>
      <c r="D837" t="s">
        <v>2592</v>
      </c>
      <c r="E837" t="s">
        <v>128</v>
      </c>
      <c r="F837" t="s">
        <v>51</v>
      </c>
      <c r="G837" t="s">
        <v>52</v>
      </c>
      <c r="H837" t="s">
        <v>180</v>
      </c>
      <c r="I837" t="s">
        <v>181</v>
      </c>
      <c r="J837" t="s">
        <v>88</v>
      </c>
      <c r="K837" t="s">
        <v>185</v>
      </c>
      <c r="L837" t="s">
        <v>2593</v>
      </c>
      <c r="M837" t="s">
        <v>45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46</v>
      </c>
      <c r="U837" t="s">
        <v>47</v>
      </c>
      <c r="V837" t="str">
        <f t="shared" si="129"/>
        <v>Valid</v>
      </c>
      <c r="W837">
        <f t="shared" si="130"/>
        <v>8</v>
      </c>
      <c r="Y837" t="str">
        <f t="shared" si="131"/>
        <v>OK</v>
      </c>
      <c r="Z837" t="str">
        <f t="shared" si="132"/>
        <v>OK</v>
      </c>
      <c r="AA837" t="str">
        <f t="shared" si="133"/>
        <v>OK</v>
      </c>
      <c r="AB837" t="str">
        <f t="shared" si="134"/>
        <v>Valid</v>
      </c>
      <c r="AC837" t="str">
        <f>IF(OR(AB837="Invalid Discount",V837="Invalid Shipping"),
"Invalid",
IF(OR(Y837="Missing Region",
Z837="Missing Ship Mode",
AA837="Missing Discount",
X837="Flagged for Review"),
"Warning",
"Clean"))</f>
        <v>Clean</v>
      </c>
      <c r="AD837">
        <f t="shared" si="135"/>
        <v>0.05</v>
      </c>
      <c r="AE837">
        <f>N837*O837*(1-AD837)</f>
        <v>10038.773499999999</v>
      </c>
      <c r="AF837">
        <f>AE837-R837</f>
        <v>4365.673499999999</v>
      </c>
      <c r="AG837" s="3">
        <f t="shared" si="136"/>
        <v>0.43488116352062323</v>
      </c>
      <c r="AH837" t="str">
        <f t="shared" si="137"/>
        <v>September</v>
      </c>
      <c r="AI837">
        <f t="shared" si="138"/>
        <v>2025</v>
      </c>
    </row>
    <row r="838" spans="1:35">
      <c r="A838" t="s">
        <v>2594</v>
      </c>
      <c r="B838" s="2">
        <v>45641</v>
      </c>
      <c r="C838" s="2">
        <v>45644</v>
      </c>
      <c r="D838" t="s">
        <v>2595</v>
      </c>
      <c r="E838" t="s">
        <v>61</v>
      </c>
      <c r="F838" t="s">
        <v>51</v>
      </c>
      <c r="G838" t="s">
        <v>39</v>
      </c>
      <c r="H838" t="s">
        <v>40</v>
      </c>
      <c r="I838" t="s">
        <v>41</v>
      </c>
      <c r="J838" t="s">
        <v>42</v>
      </c>
      <c r="K838" t="s">
        <v>105</v>
      </c>
      <c r="L838" t="s">
        <v>2596</v>
      </c>
      <c r="M838" t="s">
        <v>45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46</v>
      </c>
      <c r="U838" t="s">
        <v>47</v>
      </c>
      <c r="V838" t="str">
        <f t="shared" si="129"/>
        <v>Valid</v>
      </c>
      <c r="W838">
        <f t="shared" si="130"/>
        <v>3</v>
      </c>
      <c r="Y838" t="str">
        <f t="shared" si="131"/>
        <v>OK</v>
      </c>
      <c r="Z838" t="str">
        <f t="shared" si="132"/>
        <v>OK</v>
      </c>
      <c r="AA838" t="str">
        <f t="shared" si="133"/>
        <v>OK</v>
      </c>
      <c r="AB838" t="str">
        <f t="shared" si="134"/>
        <v>Valid</v>
      </c>
      <c r="AC838" t="str">
        <f>IF(OR(AB838="Invalid Discount",V838="Invalid Shipping"),
"Invalid",
IF(OR(Y838="Missing Region",
Z838="Missing Ship Mode",
AA838="Missing Discount",
X838="Flagged for Review"),
"Warning",
"Clean"))</f>
        <v>Clean</v>
      </c>
      <c r="AD838">
        <f t="shared" si="135"/>
        <v>0</v>
      </c>
      <c r="AE838">
        <f>N838*O838*(1-AD838)</f>
        <v>1074.22</v>
      </c>
      <c r="AF838">
        <f>AE838-R838</f>
        <v>223.36</v>
      </c>
      <c r="AG838" s="3">
        <f t="shared" si="136"/>
        <v>0.20792761259332354</v>
      </c>
      <c r="AH838" t="str">
        <f t="shared" si="137"/>
        <v>December</v>
      </c>
      <c r="AI838">
        <f t="shared" si="138"/>
        <v>2024</v>
      </c>
    </row>
    <row r="839" spans="1:35">
      <c r="A839" t="s">
        <v>2597</v>
      </c>
      <c r="B839" s="2">
        <v>45927</v>
      </c>
      <c r="C839" s="2">
        <v>45928</v>
      </c>
      <c r="D839" t="s">
        <v>2598</v>
      </c>
      <c r="E839" t="s">
        <v>37</v>
      </c>
      <c r="F839" t="s">
        <v>109</v>
      </c>
      <c r="G839" t="s">
        <v>77</v>
      </c>
      <c r="H839" t="s">
        <v>78</v>
      </c>
      <c r="I839" t="s">
        <v>79</v>
      </c>
      <c r="J839" t="s">
        <v>42</v>
      </c>
      <c r="K839" t="s">
        <v>43</v>
      </c>
      <c r="L839" t="s">
        <v>2599</v>
      </c>
      <c r="M839" t="s">
        <v>64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46</v>
      </c>
      <c r="U839" t="s">
        <v>47</v>
      </c>
      <c r="V839" t="str">
        <f t="shared" si="129"/>
        <v>Valid</v>
      </c>
      <c r="W839">
        <f t="shared" si="130"/>
        <v>1</v>
      </c>
      <c r="Y839" t="str">
        <f t="shared" si="131"/>
        <v>OK</v>
      </c>
      <c r="Z839" t="str">
        <f t="shared" si="132"/>
        <v>OK</v>
      </c>
      <c r="AA839" t="str">
        <f t="shared" si="133"/>
        <v>OK</v>
      </c>
      <c r="AB839" t="str">
        <f t="shared" si="134"/>
        <v>Valid</v>
      </c>
      <c r="AC839" t="str">
        <f>IF(OR(AB839="Invalid Discount",V839="Invalid Shipping"),
"Invalid",
IF(OR(Y839="Missing Region",
Z839="Missing Ship Mode",
AA839="Missing Discount",
X839="Flagged for Review"),
"Warning",
"Clean"))</f>
        <v>Clean</v>
      </c>
      <c r="AD839">
        <f t="shared" si="135"/>
        <v>0.25</v>
      </c>
      <c r="AE839">
        <f>N839*O839*(1-AD839)</f>
        <v>9399.6674999999996</v>
      </c>
      <c r="AF839">
        <f>AE839-R839</f>
        <v>2859.2974999999997</v>
      </c>
      <c r="AG839" s="3">
        <f t="shared" si="136"/>
        <v>0.30419134506619516</v>
      </c>
      <c r="AH839" t="str">
        <f t="shared" si="137"/>
        <v>September</v>
      </c>
      <c r="AI839">
        <f t="shared" si="138"/>
        <v>2025</v>
      </c>
    </row>
    <row r="840" spans="1:35">
      <c r="A840" t="s">
        <v>2600</v>
      </c>
      <c r="B840" s="2">
        <v>45750</v>
      </c>
      <c r="C840" s="2">
        <v>45754</v>
      </c>
      <c r="D840" t="s">
        <v>2601</v>
      </c>
      <c r="E840" t="s">
        <v>76</v>
      </c>
      <c r="F840" t="s">
        <v>51</v>
      </c>
      <c r="G840" t="s">
        <v>77</v>
      </c>
      <c r="H840" t="s">
        <v>204</v>
      </c>
      <c r="I840" t="s">
        <v>205</v>
      </c>
      <c r="J840" t="s">
        <v>42</v>
      </c>
      <c r="K840" t="s">
        <v>43</v>
      </c>
      <c r="L840" t="s">
        <v>2602</v>
      </c>
      <c r="M840" t="s">
        <v>58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46</v>
      </c>
      <c r="U840" t="s">
        <v>117</v>
      </c>
      <c r="V840" t="str">
        <f t="shared" si="129"/>
        <v>Valid</v>
      </c>
      <c r="W840">
        <f t="shared" si="130"/>
        <v>4</v>
      </c>
      <c r="Y840" t="str">
        <f t="shared" si="131"/>
        <v>OK</v>
      </c>
      <c r="Z840" t="str">
        <f t="shared" si="132"/>
        <v>OK</v>
      </c>
      <c r="AA840" t="str">
        <f t="shared" si="133"/>
        <v>OK</v>
      </c>
      <c r="AB840" t="str">
        <f t="shared" si="134"/>
        <v>Valid</v>
      </c>
      <c r="AC840" t="str">
        <f>IF(OR(AB840="Invalid Discount",V840="Invalid Shipping"),
"Invalid",
IF(OR(Y840="Missing Region",
Z840="Missing Ship Mode",
AA840="Missing Discount",
X840="Flagged for Review"),
"Warning",
"Clean"))</f>
        <v>Clean</v>
      </c>
      <c r="AD840">
        <f t="shared" si="135"/>
        <v>0</v>
      </c>
      <c r="AE840">
        <f>N840*O840*(1-AD840)</f>
        <v>1470.57</v>
      </c>
      <c r="AF840">
        <f>AE840-R840</f>
        <v>636.54999999999995</v>
      </c>
      <c r="AG840" s="3">
        <f t="shared" si="136"/>
        <v>0.43285936745615644</v>
      </c>
      <c r="AH840" t="str">
        <f t="shared" si="137"/>
        <v>April</v>
      </c>
      <c r="AI840">
        <f t="shared" si="138"/>
        <v>2025</v>
      </c>
    </row>
    <row r="841" spans="1:35">
      <c r="A841" t="s">
        <v>2603</v>
      </c>
      <c r="B841" s="2">
        <v>45555</v>
      </c>
      <c r="C841" s="2">
        <v>45557</v>
      </c>
      <c r="D841" t="s">
        <v>2604</v>
      </c>
      <c r="E841" t="s">
        <v>155</v>
      </c>
      <c r="F841" t="s">
        <v>109</v>
      </c>
      <c r="G841" t="s">
        <v>52</v>
      </c>
      <c r="H841" t="s">
        <v>53</v>
      </c>
      <c r="I841" t="s">
        <v>54</v>
      </c>
      <c r="J841" t="s">
        <v>88</v>
      </c>
      <c r="K841" t="s">
        <v>185</v>
      </c>
      <c r="L841" t="s">
        <v>2605</v>
      </c>
      <c r="M841" t="s">
        <v>73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46</v>
      </c>
      <c r="U841" t="s">
        <v>47</v>
      </c>
      <c r="V841" t="str">
        <f t="shared" si="129"/>
        <v>Valid</v>
      </c>
      <c r="W841">
        <f t="shared" si="130"/>
        <v>2</v>
      </c>
      <c r="Y841" t="str">
        <f t="shared" si="131"/>
        <v>OK</v>
      </c>
      <c r="Z841" t="str">
        <f t="shared" si="132"/>
        <v>OK</v>
      </c>
      <c r="AA841" t="str">
        <f t="shared" si="133"/>
        <v>OK</v>
      </c>
      <c r="AB841" t="str">
        <f t="shared" si="134"/>
        <v>Valid</v>
      </c>
      <c r="AC841" t="str">
        <f>IF(OR(AB841="Invalid Discount",V841="Invalid Shipping"),
"Invalid",
IF(OR(Y841="Missing Region",
Z841="Missing Ship Mode",
AA841="Missing Discount",
X841="Flagged for Review"),
"Warning",
"Clean"))</f>
        <v>Clean</v>
      </c>
      <c r="AD841">
        <f t="shared" si="135"/>
        <v>0.1</v>
      </c>
      <c r="AE841">
        <f>N841*O841*(1-AD841)</f>
        <v>3826.2959999999998</v>
      </c>
      <c r="AF841">
        <f>AE841-R841</f>
        <v>1632.1759999999999</v>
      </c>
      <c r="AG841" s="3">
        <f t="shared" si="136"/>
        <v>0.42656814841298218</v>
      </c>
      <c r="AH841" t="str">
        <f t="shared" si="137"/>
        <v>September</v>
      </c>
      <c r="AI841">
        <f t="shared" si="138"/>
        <v>2024</v>
      </c>
    </row>
    <row r="842" spans="1:35">
      <c r="A842" t="s">
        <v>2606</v>
      </c>
      <c r="B842" s="2">
        <v>45919</v>
      </c>
      <c r="C842" s="2">
        <v>45919</v>
      </c>
      <c r="D842" t="s">
        <v>2607</v>
      </c>
      <c r="E842" t="s">
        <v>93</v>
      </c>
      <c r="F842" t="s">
        <v>109</v>
      </c>
      <c r="G842" t="s">
        <v>39</v>
      </c>
      <c r="H842" t="s">
        <v>365</v>
      </c>
      <c r="I842" t="s">
        <v>366</v>
      </c>
      <c r="J842" t="s">
        <v>55</v>
      </c>
      <c r="K842" t="s">
        <v>80</v>
      </c>
      <c r="L842" t="s">
        <v>2608</v>
      </c>
      <c r="M842" t="s">
        <v>58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46</v>
      </c>
      <c r="U842" t="s">
        <v>47</v>
      </c>
      <c r="V842" t="str">
        <f t="shared" si="129"/>
        <v>Valid</v>
      </c>
      <c r="W842">
        <f t="shared" si="130"/>
        <v>0</v>
      </c>
      <c r="Y842" t="str">
        <f t="shared" si="131"/>
        <v>OK</v>
      </c>
      <c r="Z842" t="str">
        <f t="shared" si="132"/>
        <v>OK</v>
      </c>
      <c r="AA842" t="str">
        <f t="shared" si="133"/>
        <v>OK</v>
      </c>
      <c r="AB842" t="str">
        <f t="shared" si="134"/>
        <v>Valid</v>
      </c>
      <c r="AC842" t="str">
        <f>IF(OR(AB842="Invalid Discount",V842="Invalid Shipping"),
"Invalid",
IF(OR(Y842="Missing Region",
Z842="Missing Ship Mode",
AA842="Missing Discount",
X842="Flagged for Review"),
"Warning",
"Clean"))</f>
        <v>Clean</v>
      </c>
      <c r="AD842">
        <f t="shared" si="135"/>
        <v>0</v>
      </c>
      <c r="AE842">
        <f>N842*O842*(1-AD842)</f>
        <v>6336.44</v>
      </c>
      <c r="AF842">
        <f>AE842-R842</f>
        <v>1655.7599999999993</v>
      </c>
      <c r="AG842" s="3">
        <f t="shared" si="136"/>
        <v>0.26130761121386764</v>
      </c>
      <c r="AH842" t="str">
        <f t="shared" si="137"/>
        <v>September</v>
      </c>
      <c r="AI842">
        <f t="shared" si="138"/>
        <v>2025</v>
      </c>
    </row>
    <row r="843" spans="1:35">
      <c r="A843" t="s">
        <v>2609</v>
      </c>
      <c r="B843" s="2">
        <v>45694</v>
      </c>
      <c r="C843" s="2">
        <v>45700</v>
      </c>
      <c r="D843" t="s">
        <v>2610</v>
      </c>
      <c r="E843" t="s">
        <v>76</v>
      </c>
      <c r="F843" t="s">
        <v>51</v>
      </c>
      <c r="G843" t="s">
        <v>52</v>
      </c>
      <c r="H843" t="s">
        <v>159</v>
      </c>
      <c r="I843" t="s">
        <v>160</v>
      </c>
      <c r="J843" t="s">
        <v>42</v>
      </c>
      <c r="K843" t="s">
        <v>62</v>
      </c>
      <c r="L843" t="s">
        <v>2611</v>
      </c>
      <c r="M843" t="s">
        <v>73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46</v>
      </c>
      <c r="U843" t="s">
        <v>47</v>
      </c>
      <c r="V843" t="str">
        <f t="shared" si="129"/>
        <v>Valid</v>
      </c>
      <c r="W843">
        <f t="shared" si="130"/>
        <v>6</v>
      </c>
      <c r="Y843" t="str">
        <f t="shared" si="131"/>
        <v>OK</v>
      </c>
      <c r="Z843" t="str">
        <f t="shared" si="132"/>
        <v>OK</v>
      </c>
      <c r="AA843" t="str">
        <f t="shared" si="133"/>
        <v>OK</v>
      </c>
      <c r="AB843" t="str">
        <f t="shared" si="134"/>
        <v>Valid</v>
      </c>
      <c r="AC843" t="str">
        <f>IF(OR(AB843="Invalid Discount",V843="Invalid Shipping"),
"Invalid",
IF(OR(Y843="Missing Region",
Z843="Missing Ship Mode",
AA843="Missing Discount",
X843="Flagged for Review"),
"Warning",
"Clean"))</f>
        <v>Clean</v>
      </c>
      <c r="AD843">
        <f t="shared" si="135"/>
        <v>0.25</v>
      </c>
      <c r="AE843">
        <f>N843*O843*(1-AD843)</f>
        <v>21850.829999999998</v>
      </c>
      <c r="AF843">
        <f>AE843-R843</f>
        <v>5250.6999999999971</v>
      </c>
      <c r="AG843" s="3">
        <f t="shared" si="136"/>
        <v>0.2402975081495759</v>
      </c>
      <c r="AH843" t="str">
        <f t="shared" si="137"/>
        <v>February</v>
      </c>
      <c r="AI843">
        <f t="shared" si="138"/>
        <v>2025</v>
      </c>
    </row>
    <row r="844" spans="1:35">
      <c r="A844" t="s">
        <v>2612</v>
      </c>
      <c r="B844" s="2">
        <v>45382</v>
      </c>
      <c r="C844" s="2">
        <v>45381</v>
      </c>
      <c r="D844" t="s">
        <v>2613</v>
      </c>
      <c r="E844" t="s">
        <v>279</v>
      </c>
      <c r="F844" t="s">
        <v>38</v>
      </c>
      <c r="G844" t="s">
        <v>39</v>
      </c>
      <c r="H844" t="s">
        <v>251</v>
      </c>
      <c r="I844" t="s">
        <v>252</v>
      </c>
      <c r="J844" t="s">
        <v>88</v>
      </c>
      <c r="K844" t="s">
        <v>289</v>
      </c>
      <c r="L844" t="s">
        <v>2614</v>
      </c>
      <c r="M844" t="s">
        <v>64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46</v>
      </c>
      <c r="U844" t="s">
        <v>117</v>
      </c>
      <c r="V844" t="str">
        <f t="shared" si="129"/>
        <v>Invalid Shipping</v>
      </c>
      <c r="W844">
        <f t="shared" si="130"/>
        <v>-1</v>
      </c>
      <c r="Y844" t="str">
        <f t="shared" si="131"/>
        <v>OK</v>
      </c>
      <c r="Z844" t="str">
        <f t="shared" si="132"/>
        <v>OK</v>
      </c>
      <c r="AA844" t="str">
        <f t="shared" si="133"/>
        <v>OK</v>
      </c>
      <c r="AB844" t="str">
        <f t="shared" si="134"/>
        <v>Valid</v>
      </c>
      <c r="AC844" t="str">
        <f>IF(OR(AB844="Invalid Discount",V844="Invalid Shipping"),
"Invalid",
IF(OR(Y844="Missing Region",
Z844="Missing Ship Mode",
AA844="Missing Discount",
X844="Flagged for Review"),
"Warning",
"Clean"))</f>
        <v>Invalid</v>
      </c>
      <c r="AD844">
        <f t="shared" si="135"/>
        <v>0.15</v>
      </c>
      <c r="AE844">
        <f>N844*O844*(1-AD844)</f>
        <v>7453.0719999999992</v>
      </c>
      <c r="AF844">
        <f>AE844-R844</f>
        <v>2319.2919999999995</v>
      </c>
      <c r="AG844" s="3">
        <f t="shared" si="136"/>
        <v>0.31118604516365866</v>
      </c>
      <c r="AH844" t="str">
        <f t="shared" si="137"/>
        <v>March</v>
      </c>
      <c r="AI844">
        <f t="shared" si="138"/>
        <v>2024</v>
      </c>
    </row>
    <row r="845" spans="1:35">
      <c r="A845" t="s">
        <v>2615</v>
      </c>
      <c r="B845" s="2">
        <v>45856</v>
      </c>
      <c r="C845" s="2">
        <v>45863</v>
      </c>
      <c r="D845" t="s">
        <v>2616</v>
      </c>
      <c r="E845" t="s">
        <v>128</v>
      </c>
      <c r="F845" t="s">
        <v>51</v>
      </c>
      <c r="G845" t="s">
        <v>39</v>
      </c>
      <c r="H845" t="s">
        <v>150</v>
      </c>
      <c r="I845" t="s">
        <v>151</v>
      </c>
      <c r="J845" t="s">
        <v>88</v>
      </c>
      <c r="K845" t="s">
        <v>185</v>
      </c>
      <c r="L845" t="s">
        <v>2617</v>
      </c>
      <c r="M845" t="s">
        <v>64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46</v>
      </c>
      <c r="U845" t="s">
        <v>47</v>
      </c>
      <c r="V845" t="str">
        <f t="shared" si="129"/>
        <v>Valid</v>
      </c>
      <c r="W845">
        <f t="shared" si="130"/>
        <v>7</v>
      </c>
      <c r="Y845" t="str">
        <f t="shared" si="131"/>
        <v>OK</v>
      </c>
      <c r="Z845" t="str">
        <f t="shared" si="132"/>
        <v>OK</v>
      </c>
      <c r="AA845" t="str">
        <f t="shared" si="133"/>
        <v>OK</v>
      </c>
      <c r="AB845" t="str">
        <f t="shared" si="134"/>
        <v>Invalid Discount</v>
      </c>
      <c r="AC845" t="str">
        <f>IF(OR(AB845="Invalid Discount",V845="Invalid Shipping"),
"Invalid",
IF(OR(Y845="Missing Region",
Z845="Missing Ship Mode",
AA845="Missing Discount",
X845="Flagged for Review"),
"Warning",
"Clean"))</f>
        <v>Invalid</v>
      </c>
      <c r="AD845">
        <f t="shared" si="135"/>
        <v>-0.02</v>
      </c>
      <c r="AE845">
        <f>N845*O845*(1-AD845)</f>
        <v>36623.793600000005</v>
      </c>
      <c r="AF845">
        <f>AE845-R845</f>
        <v>12707.693600000006</v>
      </c>
      <c r="AG845" s="3">
        <f t="shared" si="136"/>
        <v>0.34697917257812433</v>
      </c>
      <c r="AH845" t="str">
        <f t="shared" si="137"/>
        <v>July</v>
      </c>
      <c r="AI845">
        <f t="shared" si="138"/>
        <v>2025</v>
      </c>
    </row>
    <row r="846" spans="1:35">
      <c r="A846" t="s">
        <v>2618</v>
      </c>
      <c r="B846" s="2">
        <v>45677</v>
      </c>
      <c r="C846" s="2">
        <v>45682</v>
      </c>
      <c r="D846" t="s">
        <v>2619</v>
      </c>
      <c r="E846" t="s">
        <v>103</v>
      </c>
      <c r="F846" t="s">
        <v>109</v>
      </c>
      <c r="G846" t="s">
        <v>77</v>
      </c>
      <c r="H846" t="s">
        <v>204</v>
      </c>
      <c r="I846" t="s">
        <v>205</v>
      </c>
      <c r="J846" t="s">
        <v>42</v>
      </c>
      <c r="K846" t="s">
        <v>62</v>
      </c>
      <c r="L846" t="s">
        <v>2620</v>
      </c>
      <c r="M846" t="s">
        <v>64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46</v>
      </c>
      <c r="U846" t="s">
        <v>47</v>
      </c>
      <c r="V846" t="str">
        <f t="shared" si="129"/>
        <v>Valid</v>
      </c>
      <c r="W846">
        <f t="shared" si="130"/>
        <v>5</v>
      </c>
      <c r="Y846" t="str">
        <f t="shared" si="131"/>
        <v>OK</v>
      </c>
      <c r="Z846" t="str">
        <f t="shared" si="132"/>
        <v>OK</v>
      </c>
      <c r="AA846" t="str">
        <f t="shared" si="133"/>
        <v>OK</v>
      </c>
      <c r="AB846" t="str">
        <f t="shared" si="134"/>
        <v>Valid</v>
      </c>
      <c r="AC846" t="str">
        <f>IF(OR(AB846="Invalid Discount",V846="Invalid Shipping"),
"Invalid",
IF(OR(Y846="Missing Region",
Z846="Missing Ship Mode",
AA846="Missing Discount",
X846="Flagged for Review"),
"Warning",
"Clean"))</f>
        <v>Clean</v>
      </c>
      <c r="AD846">
        <f t="shared" si="135"/>
        <v>0</v>
      </c>
      <c r="AE846">
        <f>N846*O846*(1-AD846)</f>
        <v>3515.15</v>
      </c>
      <c r="AF846">
        <f>AE846-R846</f>
        <v>1298.81</v>
      </c>
      <c r="AG846" s="3">
        <f t="shared" si="136"/>
        <v>0.36948921098672882</v>
      </c>
      <c r="AH846" t="str">
        <f t="shared" si="137"/>
        <v>January</v>
      </c>
      <c r="AI846">
        <f t="shared" si="138"/>
        <v>2025</v>
      </c>
    </row>
    <row r="847" spans="1:35">
      <c r="A847" t="s">
        <v>2621</v>
      </c>
      <c r="B847" s="2">
        <v>45345</v>
      </c>
      <c r="C847" s="2">
        <v>45349</v>
      </c>
      <c r="D847" t="s">
        <v>608</v>
      </c>
      <c r="E847" t="s">
        <v>37</v>
      </c>
      <c r="F847" t="s">
        <v>38</v>
      </c>
      <c r="G847" t="s">
        <v>52</v>
      </c>
      <c r="H847" t="s">
        <v>53</v>
      </c>
      <c r="I847" t="s">
        <v>54</v>
      </c>
      <c r="J847" t="s">
        <v>55</v>
      </c>
      <c r="K847" t="s">
        <v>56</v>
      </c>
      <c r="L847" t="s">
        <v>2622</v>
      </c>
      <c r="M847" t="s">
        <v>64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125</v>
      </c>
      <c r="U847" t="s">
        <v>117</v>
      </c>
      <c r="V847" t="str">
        <f t="shared" si="129"/>
        <v>Valid</v>
      </c>
      <c r="W847">
        <f t="shared" si="130"/>
        <v>4</v>
      </c>
      <c r="Y847" t="str">
        <f t="shared" si="131"/>
        <v>OK</v>
      </c>
      <c r="Z847" t="str">
        <f t="shared" si="132"/>
        <v>OK</v>
      </c>
      <c r="AA847" t="str">
        <f t="shared" si="133"/>
        <v>OK</v>
      </c>
      <c r="AB847" t="str">
        <f t="shared" si="134"/>
        <v>Valid</v>
      </c>
      <c r="AC847" t="str">
        <f>IF(OR(AB847="Invalid Discount",V847="Invalid Shipping"),
"Invalid",
IF(OR(Y847="Missing Region",
Z847="Missing Ship Mode",
AA847="Missing Discount",
X847="Flagged for Review"),
"Warning",
"Clean"))</f>
        <v>Clean</v>
      </c>
      <c r="AD847">
        <f t="shared" si="135"/>
        <v>0.25</v>
      </c>
      <c r="AE847">
        <f>N847*O847*(1-AD847)</f>
        <v>24409.552499999998</v>
      </c>
      <c r="AF847">
        <f>AE847-R847</f>
        <v>7251.9724999999962</v>
      </c>
      <c r="AG847" s="3">
        <f t="shared" si="136"/>
        <v>0.29709567596538267</v>
      </c>
      <c r="AH847" t="str">
        <f t="shared" si="137"/>
        <v>February</v>
      </c>
      <c r="AI847">
        <f t="shared" si="138"/>
        <v>2024</v>
      </c>
    </row>
    <row r="848" spans="1:35">
      <c r="A848" t="s">
        <v>2623</v>
      </c>
      <c r="B848" s="2">
        <v>45396</v>
      </c>
      <c r="C848" s="2">
        <v>45404</v>
      </c>
      <c r="D848" t="s">
        <v>2624</v>
      </c>
      <c r="E848" t="s">
        <v>128</v>
      </c>
      <c r="F848" t="s">
        <v>51</v>
      </c>
      <c r="G848" t="s">
        <v>77</v>
      </c>
      <c r="H848" t="s">
        <v>194</v>
      </c>
      <c r="I848" t="s">
        <v>195</v>
      </c>
      <c r="J848" t="s">
        <v>55</v>
      </c>
      <c r="K848" t="s">
        <v>172</v>
      </c>
      <c r="L848" t="s">
        <v>2625</v>
      </c>
      <c r="M848" t="s">
        <v>73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125</v>
      </c>
      <c r="U848" t="s">
        <v>117</v>
      </c>
      <c r="V848" t="str">
        <f t="shared" si="129"/>
        <v>Valid</v>
      </c>
      <c r="W848">
        <f t="shared" si="130"/>
        <v>8</v>
      </c>
      <c r="Y848" t="str">
        <f t="shared" si="131"/>
        <v>OK</v>
      </c>
      <c r="Z848" t="str">
        <f t="shared" si="132"/>
        <v>OK</v>
      </c>
      <c r="AA848" t="str">
        <f t="shared" si="133"/>
        <v>OK</v>
      </c>
      <c r="AB848" t="str">
        <f t="shared" si="134"/>
        <v>Valid</v>
      </c>
      <c r="AC848" t="str">
        <f>IF(OR(AB848="Invalid Discount",V848="Invalid Shipping"),
"Invalid",
IF(OR(Y848="Missing Region",
Z848="Missing Ship Mode",
AA848="Missing Discount",
X848="Flagged for Review"),
"Warning",
"Clean"))</f>
        <v>Clean</v>
      </c>
      <c r="AD848">
        <f t="shared" si="135"/>
        <v>0</v>
      </c>
      <c r="AE848">
        <f>N848*O848*(1-AD848)</f>
        <v>7955.04</v>
      </c>
      <c r="AF848">
        <f>AE848-R848</f>
        <v>2374.3599999999997</v>
      </c>
      <c r="AG848" s="3">
        <f t="shared" si="136"/>
        <v>0.29847241497214339</v>
      </c>
      <c r="AH848" t="str">
        <f t="shared" si="137"/>
        <v>April</v>
      </c>
      <c r="AI848">
        <f t="shared" si="138"/>
        <v>2024</v>
      </c>
    </row>
    <row r="849" spans="1:35">
      <c r="A849" t="s">
        <v>2626</v>
      </c>
      <c r="B849" s="2">
        <v>45797</v>
      </c>
      <c r="C849" s="2">
        <v>45799</v>
      </c>
      <c r="D849" t="s">
        <v>2627</v>
      </c>
      <c r="E849" t="s">
        <v>176</v>
      </c>
      <c r="F849" t="s">
        <v>109</v>
      </c>
      <c r="G849" t="s">
        <v>52</v>
      </c>
      <c r="H849" t="s">
        <v>53</v>
      </c>
      <c r="I849" t="s">
        <v>54</v>
      </c>
      <c r="J849" t="s">
        <v>55</v>
      </c>
      <c r="K849" t="s">
        <v>56</v>
      </c>
      <c r="L849" t="s">
        <v>2628</v>
      </c>
      <c r="M849" t="s">
        <v>45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46</v>
      </c>
      <c r="U849" t="s">
        <v>47</v>
      </c>
      <c r="V849" t="str">
        <f t="shared" si="129"/>
        <v>Valid</v>
      </c>
      <c r="W849">
        <f t="shared" si="130"/>
        <v>2</v>
      </c>
      <c r="Y849" t="str">
        <f t="shared" si="131"/>
        <v>OK</v>
      </c>
      <c r="Z849" t="str">
        <f t="shared" si="132"/>
        <v>OK</v>
      </c>
      <c r="AA849" t="str">
        <f t="shared" si="133"/>
        <v>OK</v>
      </c>
      <c r="AB849" t="str">
        <f t="shared" si="134"/>
        <v>Valid</v>
      </c>
      <c r="AC849" t="str">
        <f>IF(OR(AB849="Invalid Discount",V849="Invalid Shipping"),
"Invalid",
IF(OR(Y849="Missing Region",
Z849="Missing Ship Mode",
AA849="Missing Discount",
X849="Flagged for Review"),
"Warning",
"Clean"))</f>
        <v>Clean</v>
      </c>
      <c r="AD849">
        <f t="shared" si="135"/>
        <v>0.2</v>
      </c>
      <c r="AE849">
        <f>N849*O849*(1-AD849)</f>
        <v>336.12800000000004</v>
      </c>
      <c r="AF849">
        <f>AE849-R849</f>
        <v>93.938000000000045</v>
      </c>
      <c r="AG849" s="3">
        <f t="shared" si="136"/>
        <v>0.27947091584158423</v>
      </c>
      <c r="AH849" t="str">
        <f t="shared" si="137"/>
        <v>May</v>
      </c>
      <c r="AI849">
        <f t="shared" si="138"/>
        <v>2025</v>
      </c>
    </row>
    <row r="850" spans="1:35">
      <c r="A850" t="s">
        <v>2629</v>
      </c>
      <c r="B850" s="2">
        <v>45804</v>
      </c>
      <c r="C850" s="2">
        <v>45806</v>
      </c>
      <c r="D850" t="s">
        <v>2630</v>
      </c>
      <c r="E850" t="s">
        <v>132</v>
      </c>
      <c r="F850" t="s">
        <v>109</v>
      </c>
      <c r="G850" t="s">
        <v>68</v>
      </c>
      <c r="H850" t="s">
        <v>262</v>
      </c>
      <c r="I850" t="s">
        <v>263</v>
      </c>
      <c r="J850" t="s">
        <v>55</v>
      </c>
      <c r="K850" t="s">
        <v>71</v>
      </c>
      <c r="L850" t="s">
        <v>2631</v>
      </c>
      <c r="M850" t="s">
        <v>45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46</v>
      </c>
      <c r="U850" t="s">
        <v>47</v>
      </c>
      <c r="V850" t="str">
        <f t="shared" si="129"/>
        <v>Valid</v>
      </c>
      <c r="W850">
        <f t="shared" si="130"/>
        <v>2</v>
      </c>
      <c r="Y850" t="str">
        <f t="shared" si="131"/>
        <v>OK</v>
      </c>
      <c r="Z850" t="str">
        <f t="shared" si="132"/>
        <v>OK</v>
      </c>
      <c r="AA850" t="str">
        <f t="shared" si="133"/>
        <v>OK</v>
      </c>
      <c r="AB850" t="str">
        <f t="shared" si="134"/>
        <v>Valid</v>
      </c>
      <c r="AC850" t="str">
        <f>IF(OR(AB850="Invalid Discount",V850="Invalid Shipping"),
"Invalid",
IF(OR(Y850="Missing Region",
Z850="Missing Ship Mode",
AA850="Missing Discount",
X850="Flagged for Review"),
"Warning",
"Clean"))</f>
        <v>Clean</v>
      </c>
      <c r="AD850">
        <f t="shared" si="135"/>
        <v>0.25</v>
      </c>
      <c r="AE850">
        <f>N850*O850*(1-AD850)</f>
        <v>1308.2624999999998</v>
      </c>
      <c r="AF850">
        <f>AE850-R850</f>
        <v>224.70249999999987</v>
      </c>
      <c r="AG850" s="3">
        <f t="shared" si="136"/>
        <v>0.17175643267310645</v>
      </c>
      <c r="AH850" t="str">
        <f t="shared" si="137"/>
        <v>May</v>
      </c>
      <c r="AI850">
        <f t="shared" si="138"/>
        <v>2025</v>
      </c>
    </row>
    <row r="851" spans="1:35">
      <c r="A851" t="s">
        <v>2632</v>
      </c>
      <c r="B851" s="2">
        <v>45357</v>
      </c>
      <c r="C851" s="2">
        <v>45363</v>
      </c>
      <c r="D851" t="s">
        <v>2633</v>
      </c>
      <c r="E851" t="s">
        <v>61</v>
      </c>
      <c r="F851" t="s">
        <v>109</v>
      </c>
      <c r="G851" t="s">
        <v>77</v>
      </c>
      <c r="H851" t="s">
        <v>194</v>
      </c>
      <c r="I851" t="s">
        <v>195</v>
      </c>
      <c r="J851" t="s">
        <v>55</v>
      </c>
      <c r="K851" t="s">
        <v>172</v>
      </c>
      <c r="L851" t="s">
        <v>2634</v>
      </c>
      <c r="M851" t="s">
        <v>73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46</v>
      </c>
      <c r="U851" t="s">
        <v>47</v>
      </c>
      <c r="V851" t="str">
        <f t="shared" si="129"/>
        <v>Valid</v>
      </c>
      <c r="W851">
        <f t="shared" si="130"/>
        <v>6</v>
      </c>
      <c r="Y851" t="str">
        <f t="shared" si="131"/>
        <v>OK</v>
      </c>
      <c r="Z851" t="str">
        <f t="shared" si="132"/>
        <v>OK</v>
      </c>
      <c r="AA851" t="str">
        <f t="shared" si="133"/>
        <v>OK</v>
      </c>
      <c r="AB851" t="str">
        <f t="shared" si="134"/>
        <v>Valid</v>
      </c>
      <c r="AC851" t="str">
        <f>IF(OR(AB851="Invalid Discount",V851="Invalid Shipping"),
"Invalid",
IF(OR(Y851="Missing Region",
Z851="Missing Ship Mode",
AA851="Missing Discount",
X851="Flagged for Review"),
"Warning",
"Clean"))</f>
        <v>Clean</v>
      </c>
      <c r="AD851">
        <f t="shared" si="135"/>
        <v>0.2</v>
      </c>
      <c r="AE851">
        <f>N851*O851*(1-AD851)</f>
        <v>1631.1120000000001</v>
      </c>
      <c r="AF851">
        <f>AE851-R851</f>
        <v>732.38200000000006</v>
      </c>
      <c r="AG851" s="3">
        <f t="shared" si="136"/>
        <v>0.44900779345624336</v>
      </c>
      <c r="AH851" t="str">
        <f t="shared" si="137"/>
        <v>March</v>
      </c>
      <c r="AI851">
        <f t="shared" si="138"/>
        <v>2024</v>
      </c>
    </row>
    <row r="852" spans="1:35">
      <c r="A852" t="s">
        <v>2635</v>
      </c>
      <c r="B852" s="2">
        <v>45473</v>
      </c>
      <c r="C852" s="2">
        <v>45476</v>
      </c>
      <c r="D852" t="s">
        <v>2636</v>
      </c>
      <c r="E852" t="s">
        <v>128</v>
      </c>
      <c r="F852" t="s">
        <v>109</v>
      </c>
      <c r="G852" t="s">
        <v>52</v>
      </c>
      <c r="H852" t="s">
        <v>113</v>
      </c>
      <c r="I852" t="s">
        <v>114</v>
      </c>
      <c r="J852" t="s">
        <v>42</v>
      </c>
      <c r="K852" t="s">
        <v>43</v>
      </c>
      <c r="L852" t="s">
        <v>2637</v>
      </c>
      <c r="M852" t="s">
        <v>64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46</v>
      </c>
      <c r="U852" t="s">
        <v>47</v>
      </c>
      <c r="V852" t="str">
        <f t="shared" si="129"/>
        <v>Valid</v>
      </c>
      <c r="W852">
        <f t="shared" si="130"/>
        <v>3</v>
      </c>
      <c r="Y852" t="str">
        <f t="shared" si="131"/>
        <v>OK</v>
      </c>
      <c r="Z852" t="str">
        <f t="shared" si="132"/>
        <v>OK</v>
      </c>
      <c r="AA852" t="str">
        <f t="shared" si="133"/>
        <v>OK</v>
      </c>
      <c r="AB852" t="str">
        <f t="shared" si="134"/>
        <v>Valid</v>
      </c>
      <c r="AC852" t="str">
        <f>IF(OR(AB852="Invalid Discount",V852="Invalid Shipping"),
"Invalid",
IF(OR(Y852="Missing Region",
Z852="Missing Ship Mode",
AA852="Missing Discount",
X852="Flagged for Review"),
"Warning",
"Clean"))</f>
        <v>Clean</v>
      </c>
      <c r="AD852">
        <f t="shared" si="135"/>
        <v>0</v>
      </c>
      <c r="AE852">
        <f>N852*O852*(1-AD852)</f>
        <v>7266.0599999999995</v>
      </c>
      <c r="AF852">
        <f>AE852-R852</f>
        <v>1049.1699999999992</v>
      </c>
      <c r="AG852" s="3">
        <f t="shared" si="136"/>
        <v>0.14439324750965438</v>
      </c>
      <c r="AH852" t="str">
        <f t="shared" si="137"/>
        <v>June</v>
      </c>
      <c r="AI852">
        <f t="shared" si="138"/>
        <v>2024</v>
      </c>
    </row>
    <row r="853" spans="1:35">
      <c r="A853" t="s">
        <v>2638</v>
      </c>
      <c r="B853" s="2">
        <v>45377</v>
      </c>
      <c r="C853" s="2">
        <v>45383</v>
      </c>
      <c r="D853" t="s">
        <v>2639</v>
      </c>
      <c r="E853" t="s">
        <v>37</v>
      </c>
      <c r="F853" t="s">
        <v>51</v>
      </c>
      <c r="G853" t="s">
        <v>77</v>
      </c>
      <c r="H853" t="s">
        <v>194</v>
      </c>
      <c r="I853" t="s">
        <v>195</v>
      </c>
      <c r="J853" t="s">
        <v>88</v>
      </c>
      <c r="K853" t="s">
        <v>89</v>
      </c>
      <c r="L853" t="s">
        <v>2640</v>
      </c>
      <c r="M853" t="s">
        <v>64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46</v>
      </c>
      <c r="U853" t="s">
        <v>47</v>
      </c>
      <c r="V853" t="str">
        <f t="shared" si="129"/>
        <v>Valid</v>
      </c>
      <c r="W853">
        <f t="shared" si="130"/>
        <v>6</v>
      </c>
      <c r="Y853" t="str">
        <f t="shared" si="131"/>
        <v>OK</v>
      </c>
      <c r="Z853" t="str">
        <f t="shared" si="132"/>
        <v>OK</v>
      </c>
      <c r="AA853" t="str">
        <f t="shared" si="133"/>
        <v>OK</v>
      </c>
      <c r="AB853" t="str">
        <f t="shared" si="134"/>
        <v>Valid</v>
      </c>
      <c r="AC853" t="str">
        <f>IF(OR(AB853="Invalid Discount",V853="Invalid Shipping"),
"Invalid",
IF(OR(Y853="Missing Region",
Z853="Missing Ship Mode",
AA853="Missing Discount",
X853="Flagged for Review"),
"Warning",
"Clean"))</f>
        <v>Clean</v>
      </c>
      <c r="AD853">
        <f t="shared" si="135"/>
        <v>0.2</v>
      </c>
      <c r="AE853">
        <f>N853*O853*(1-AD853)</f>
        <v>1858.08</v>
      </c>
      <c r="AF853">
        <f>AE853-R853</f>
        <v>267.32999999999993</v>
      </c>
      <c r="AG853" s="3">
        <f t="shared" si="136"/>
        <v>0.14387432188065097</v>
      </c>
      <c r="AH853" t="str">
        <f t="shared" si="137"/>
        <v>March</v>
      </c>
      <c r="AI853">
        <f t="shared" si="138"/>
        <v>2024</v>
      </c>
    </row>
    <row r="854" spans="1:35">
      <c r="A854" t="s">
        <v>2641</v>
      </c>
      <c r="B854" s="2">
        <v>45383</v>
      </c>
      <c r="C854" s="2">
        <v>45390</v>
      </c>
      <c r="D854" t="s">
        <v>2642</v>
      </c>
      <c r="E854" t="s">
        <v>76</v>
      </c>
      <c r="F854" t="s">
        <v>38</v>
      </c>
      <c r="G854" t="s">
        <v>52</v>
      </c>
      <c r="H854" t="s">
        <v>180</v>
      </c>
      <c r="I854" t="s">
        <v>181</v>
      </c>
      <c r="J854" t="s">
        <v>55</v>
      </c>
      <c r="K854" t="s">
        <v>56</v>
      </c>
      <c r="L854" t="s">
        <v>2643</v>
      </c>
      <c r="M854" t="s">
        <v>45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125</v>
      </c>
      <c r="U854" t="s">
        <v>82</v>
      </c>
      <c r="V854" t="str">
        <f t="shared" si="129"/>
        <v>Valid</v>
      </c>
      <c r="W854">
        <f t="shared" si="130"/>
        <v>7</v>
      </c>
      <c r="Y854" t="str">
        <f t="shared" si="131"/>
        <v>OK</v>
      </c>
      <c r="Z854" t="str">
        <f t="shared" si="132"/>
        <v>OK</v>
      </c>
      <c r="AA854" t="str">
        <f t="shared" si="133"/>
        <v>OK</v>
      </c>
      <c r="AB854" t="str">
        <f t="shared" si="134"/>
        <v>Valid</v>
      </c>
      <c r="AC854" t="str">
        <f>IF(OR(AB854="Invalid Discount",V854="Invalid Shipping"),
"Invalid",
IF(OR(Y854="Missing Region",
Z854="Missing Ship Mode",
AA854="Missing Discount",
X854="Flagged for Review"),
"Warning",
"Clean"))</f>
        <v>Clean</v>
      </c>
      <c r="AD854">
        <f t="shared" si="135"/>
        <v>0.15</v>
      </c>
      <c r="AE854">
        <f>N854*O854*(1-AD854)</f>
        <v>25021.832500000004</v>
      </c>
      <c r="AF854">
        <f>AE854-R854</f>
        <v>9477.3925000000036</v>
      </c>
      <c r="AG854" s="3">
        <f t="shared" si="136"/>
        <v>0.37876492459135447</v>
      </c>
      <c r="AH854" t="str">
        <f t="shared" si="137"/>
        <v>April</v>
      </c>
      <c r="AI854">
        <f t="shared" si="138"/>
        <v>2024</v>
      </c>
    </row>
    <row r="855" spans="1:35">
      <c r="A855" t="s">
        <v>2644</v>
      </c>
      <c r="B855" s="2">
        <v>45793</v>
      </c>
      <c r="C855" s="2">
        <v>45799</v>
      </c>
      <c r="D855" t="s">
        <v>2645</v>
      </c>
      <c r="E855" t="s">
        <v>67</v>
      </c>
      <c r="F855" t="s">
        <v>104</v>
      </c>
      <c r="G855" t="s">
        <v>68</v>
      </c>
      <c r="H855" t="s">
        <v>262</v>
      </c>
      <c r="I855" t="s">
        <v>263</v>
      </c>
      <c r="J855" t="s">
        <v>88</v>
      </c>
      <c r="K855" t="s">
        <v>89</v>
      </c>
      <c r="L855" t="s">
        <v>2646</v>
      </c>
      <c r="M855" t="s">
        <v>58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46</v>
      </c>
      <c r="U855" t="s">
        <v>47</v>
      </c>
      <c r="V855" t="str">
        <f t="shared" si="129"/>
        <v>Valid</v>
      </c>
      <c r="W855">
        <f t="shared" si="130"/>
        <v>6</v>
      </c>
      <c r="Y855" t="str">
        <f t="shared" si="131"/>
        <v>OK</v>
      </c>
      <c r="Z855" t="str">
        <f t="shared" si="132"/>
        <v>OK</v>
      </c>
      <c r="AA855" t="str">
        <f t="shared" si="133"/>
        <v>OK</v>
      </c>
      <c r="AB855" t="str">
        <f t="shared" si="134"/>
        <v>Valid</v>
      </c>
      <c r="AC855" t="str">
        <f>IF(OR(AB855="Invalid Discount",V855="Invalid Shipping"),
"Invalid",
IF(OR(Y855="Missing Region",
Z855="Missing Ship Mode",
AA855="Missing Discount",
X855="Flagged for Review"),
"Warning",
"Clean"))</f>
        <v>Clean</v>
      </c>
      <c r="AD855">
        <f t="shared" si="135"/>
        <v>0.2</v>
      </c>
      <c r="AE855">
        <f>N855*O855*(1-AD855)</f>
        <v>3710.72</v>
      </c>
      <c r="AF855">
        <f>AE855-R855</f>
        <v>595.42999999999984</v>
      </c>
      <c r="AG855" s="3">
        <f t="shared" si="136"/>
        <v>0.16046212055881334</v>
      </c>
      <c r="AH855" t="str">
        <f t="shared" si="137"/>
        <v>May</v>
      </c>
      <c r="AI855">
        <f t="shared" si="138"/>
        <v>2025</v>
      </c>
    </row>
    <row r="856" spans="1:35">
      <c r="A856" t="s">
        <v>2647</v>
      </c>
      <c r="B856" s="2">
        <v>45741</v>
      </c>
      <c r="C856" s="2">
        <v>45749</v>
      </c>
      <c r="D856" t="s">
        <v>2648</v>
      </c>
      <c r="E856" t="s">
        <v>128</v>
      </c>
      <c r="F856" t="s">
        <v>38</v>
      </c>
      <c r="G856" t="s">
        <v>68</v>
      </c>
      <c r="H856" t="s">
        <v>189</v>
      </c>
      <c r="I856" t="s">
        <v>190</v>
      </c>
      <c r="J856" t="s">
        <v>55</v>
      </c>
      <c r="K856" t="s">
        <v>172</v>
      </c>
      <c r="L856" t="s">
        <v>2649</v>
      </c>
      <c r="M856" t="s">
        <v>45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46</v>
      </c>
      <c r="U856" t="s">
        <v>47</v>
      </c>
      <c r="V856" t="str">
        <f t="shared" si="129"/>
        <v>Valid</v>
      </c>
      <c r="W856">
        <f t="shared" si="130"/>
        <v>8</v>
      </c>
      <c r="Y856" t="str">
        <f t="shared" si="131"/>
        <v>OK</v>
      </c>
      <c r="Z856" t="str">
        <f t="shared" si="132"/>
        <v>OK</v>
      </c>
      <c r="AA856" t="str">
        <f t="shared" si="133"/>
        <v>OK</v>
      </c>
      <c r="AB856" t="str">
        <f t="shared" si="134"/>
        <v>Valid</v>
      </c>
      <c r="AC856" t="str">
        <f>IF(OR(AB856="Invalid Discount",V856="Invalid Shipping"),
"Invalid",
IF(OR(Y856="Missing Region",
Z856="Missing Ship Mode",
AA856="Missing Discount",
X856="Flagged for Review"),
"Warning",
"Clean"))</f>
        <v>Clean</v>
      </c>
      <c r="AD856">
        <f t="shared" si="135"/>
        <v>0.05</v>
      </c>
      <c r="AE856">
        <f>N856*O856*(1-AD856)</f>
        <v>8487.8319999999985</v>
      </c>
      <c r="AF856">
        <f>AE856-R856</f>
        <v>3242.1119999999983</v>
      </c>
      <c r="AG856" s="3">
        <f t="shared" si="136"/>
        <v>0.38197174496384928</v>
      </c>
      <c r="AH856" t="str">
        <f t="shared" si="137"/>
        <v>March</v>
      </c>
      <c r="AI856">
        <f t="shared" si="138"/>
        <v>2025</v>
      </c>
    </row>
    <row r="857" spans="1:35">
      <c r="A857" t="s">
        <v>2650</v>
      </c>
      <c r="B857" s="2">
        <v>45498</v>
      </c>
      <c r="C857" s="2">
        <v>45506</v>
      </c>
      <c r="D857" t="s">
        <v>1136</v>
      </c>
      <c r="E857" t="s">
        <v>132</v>
      </c>
      <c r="F857" t="s">
        <v>38</v>
      </c>
      <c r="G857" t="s">
        <v>39</v>
      </c>
      <c r="H857" t="s">
        <v>40</v>
      </c>
      <c r="I857" t="s">
        <v>41</v>
      </c>
      <c r="J857" t="s">
        <v>42</v>
      </c>
      <c r="K857" t="s">
        <v>105</v>
      </c>
      <c r="L857" t="s">
        <v>2651</v>
      </c>
      <c r="M857" t="s">
        <v>45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46</v>
      </c>
      <c r="U857" t="s">
        <v>47</v>
      </c>
      <c r="V857" t="str">
        <f t="shared" si="129"/>
        <v>Valid</v>
      </c>
      <c r="W857">
        <f t="shared" si="130"/>
        <v>8</v>
      </c>
      <c r="Y857" t="str">
        <f t="shared" si="131"/>
        <v>OK</v>
      </c>
      <c r="Z857" t="str">
        <f t="shared" si="132"/>
        <v>OK</v>
      </c>
      <c r="AA857" t="str">
        <f t="shared" si="133"/>
        <v>OK</v>
      </c>
      <c r="AB857" t="str">
        <f t="shared" si="134"/>
        <v>Valid</v>
      </c>
      <c r="AC857" t="str">
        <f>IF(OR(AB857="Invalid Discount",V857="Invalid Shipping"),
"Invalid",
IF(OR(Y857="Missing Region",
Z857="Missing Ship Mode",
AA857="Missing Discount",
X857="Flagged for Review"),
"Warning",
"Clean"))</f>
        <v>Clean</v>
      </c>
      <c r="AD857">
        <f t="shared" si="135"/>
        <v>0.25</v>
      </c>
      <c r="AE857">
        <f>N857*O857*(1-AD857)</f>
        <v>3110.2950000000001</v>
      </c>
      <c r="AF857">
        <f>AE857-R857</f>
        <v>1009.2649999999999</v>
      </c>
      <c r="AG857" s="3">
        <f t="shared" si="136"/>
        <v>0.32449172827657824</v>
      </c>
      <c r="AH857" t="str">
        <f t="shared" si="137"/>
        <v>July</v>
      </c>
      <c r="AI857">
        <f t="shared" si="138"/>
        <v>2024</v>
      </c>
    </row>
    <row r="858" spans="1:35">
      <c r="A858" t="s">
        <v>2652</v>
      </c>
      <c r="B858" s="2">
        <v>45455</v>
      </c>
      <c r="C858" s="2">
        <v>45462</v>
      </c>
      <c r="D858" t="s">
        <v>1314</v>
      </c>
      <c r="E858" t="s">
        <v>155</v>
      </c>
      <c r="F858" t="s">
        <v>109</v>
      </c>
      <c r="G858" t="s">
        <v>68</v>
      </c>
      <c r="H858" t="s">
        <v>262</v>
      </c>
      <c r="I858" t="s">
        <v>263</v>
      </c>
      <c r="J858" t="s">
        <v>42</v>
      </c>
      <c r="K858" t="s">
        <v>138</v>
      </c>
      <c r="L858" t="s">
        <v>2653</v>
      </c>
      <c r="M858" t="s">
        <v>73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169</v>
      </c>
      <c r="U858" t="s">
        <v>82</v>
      </c>
      <c r="V858" t="str">
        <f t="shared" si="129"/>
        <v>Valid</v>
      </c>
      <c r="W858">
        <f t="shared" si="130"/>
        <v>7</v>
      </c>
      <c r="Y858" t="str">
        <f t="shared" si="131"/>
        <v>OK</v>
      </c>
      <c r="Z858" t="str">
        <f t="shared" si="132"/>
        <v>OK</v>
      </c>
      <c r="AA858" t="str">
        <f t="shared" si="133"/>
        <v>OK</v>
      </c>
      <c r="AB858" t="str">
        <f t="shared" si="134"/>
        <v>Invalid Discount</v>
      </c>
      <c r="AC858" t="str">
        <f>IF(OR(AB858="Invalid Discount",V858="Invalid Shipping"),
"Invalid",
IF(OR(Y858="Missing Region",
Z858="Missing Ship Mode",
AA858="Missing Discount",
X858="Flagged for Review"),
"Warning",
"Clean"))</f>
        <v>Invalid</v>
      </c>
      <c r="AD858">
        <f t="shared" si="135"/>
        <v>-0.16</v>
      </c>
      <c r="AE858">
        <f>N858*O858*(1-AD858)</f>
        <v>1833.2639999999999</v>
      </c>
      <c r="AF858">
        <f>AE858-R858</f>
        <v>866.71399999999994</v>
      </c>
      <c r="AG858" s="3">
        <f t="shared" si="136"/>
        <v>0.47277097024760206</v>
      </c>
      <c r="AH858" t="str">
        <f t="shared" si="137"/>
        <v>June</v>
      </c>
      <c r="AI858">
        <f t="shared" si="138"/>
        <v>2024</v>
      </c>
    </row>
    <row r="859" spans="1:35">
      <c r="A859" t="s">
        <v>2654</v>
      </c>
      <c r="B859" s="2">
        <v>45447</v>
      </c>
      <c r="C859" s="2">
        <v>45447</v>
      </c>
      <c r="D859" t="s">
        <v>2161</v>
      </c>
      <c r="E859" t="s">
        <v>146</v>
      </c>
      <c r="F859" t="s">
        <v>109</v>
      </c>
      <c r="G859" t="s">
        <v>68</v>
      </c>
      <c r="H859" t="s">
        <v>199</v>
      </c>
      <c r="I859" t="s">
        <v>200</v>
      </c>
      <c r="J859" t="s">
        <v>42</v>
      </c>
      <c r="K859" t="s">
        <v>138</v>
      </c>
      <c r="L859" t="s">
        <v>2655</v>
      </c>
      <c r="M859" t="s">
        <v>64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46</v>
      </c>
      <c r="U859" t="s">
        <v>47</v>
      </c>
      <c r="V859" t="str">
        <f t="shared" si="129"/>
        <v>Valid</v>
      </c>
      <c r="W859">
        <f t="shared" si="130"/>
        <v>0</v>
      </c>
      <c r="Y859" t="str">
        <f t="shared" si="131"/>
        <v>OK</v>
      </c>
      <c r="Z859" t="str">
        <f t="shared" si="132"/>
        <v>OK</v>
      </c>
      <c r="AA859" t="str">
        <f t="shared" si="133"/>
        <v>OK</v>
      </c>
      <c r="AB859" t="str">
        <f t="shared" si="134"/>
        <v>Valid</v>
      </c>
      <c r="AC859" t="str">
        <f>IF(OR(AB859="Invalid Discount",V859="Invalid Shipping"),
"Invalid",
IF(OR(Y859="Missing Region",
Z859="Missing Ship Mode",
AA859="Missing Discount",
X859="Flagged for Review"),
"Warning",
"Clean"))</f>
        <v>Clean</v>
      </c>
      <c r="AD859">
        <f t="shared" si="135"/>
        <v>0.25</v>
      </c>
      <c r="AE859">
        <f>N859*O859*(1-AD859)</f>
        <v>12190.365</v>
      </c>
      <c r="AF859">
        <f>AE859-R859</f>
        <v>2013.375</v>
      </c>
      <c r="AG859" s="3">
        <f t="shared" si="136"/>
        <v>0.16516117441930575</v>
      </c>
      <c r="AH859" t="str">
        <f t="shared" si="137"/>
        <v>June</v>
      </c>
      <c r="AI859">
        <f t="shared" si="138"/>
        <v>2024</v>
      </c>
    </row>
    <row r="860" spans="1:35">
      <c r="A860" t="s">
        <v>2656</v>
      </c>
      <c r="B860" s="2">
        <v>45414</v>
      </c>
      <c r="C860" s="2">
        <v>45421</v>
      </c>
      <c r="D860" t="s">
        <v>2657</v>
      </c>
      <c r="E860" t="s">
        <v>67</v>
      </c>
      <c r="F860" t="s">
        <v>38</v>
      </c>
      <c r="G860" t="s">
        <v>52</v>
      </c>
      <c r="H860" t="s">
        <v>53</v>
      </c>
      <c r="I860" t="s">
        <v>54</v>
      </c>
      <c r="J860" t="s">
        <v>88</v>
      </c>
      <c r="K860" t="s">
        <v>89</v>
      </c>
      <c r="L860" t="s">
        <v>2658</v>
      </c>
      <c r="M860" t="s">
        <v>45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46</v>
      </c>
      <c r="U860" t="s">
        <v>47</v>
      </c>
      <c r="V860" t="str">
        <f t="shared" si="129"/>
        <v>Valid</v>
      </c>
      <c r="W860">
        <f t="shared" si="130"/>
        <v>7</v>
      </c>
      <c r="Y860" t="str">
        <f t="shared" si="131"/>
        <v>OK</v>
      </c>
      <c r="Z860" t="str">
        <f t="shared" si="132"/>
        <v>OK</v>
      </c>
      <c r="AA860" t="str">
        <f t="shared" si="133"/>
        <v>OK</v>
      </c>
      <c r="AB860" t="str">
        <f t="shared" si="134"/>
        <v>Valid</v>
      </c>
      <c r="AC860" t="str">
        <f>IF(OR(AB860="Invalid Discount",V860="Invalid Shipping"),
"Invalid",
IF(OR(Y860="Missing Region",
Z860="Missing Ship Mode",
AA860="Missing Discount",
X860="Flagged for Review"),
"Warning",
"Clean"))</f>
        <v>Clean</v>
      </c>
      <c r="AD860">
        <f t="shared" si="135"/>
        <v>0</v>
      </c>
      <c r="AE860">
        <f>N860*O860*(1-AD860)</f>
        <v>11619.44</v>
      </c>
      <c r="AF860">
        <f>AE860-R860</f>
        <v>4435.1200000000008</v>
      </c>
      <c r="AG860" s="3">
        <f t="shared" si="136"/>
        <v>0.3816982574031107</v>
      </c>
      <c r="AH860" t="str">
        <f t="shared" si="137"/>
        <v>May</v>
      </c>
      <c r="AI860">
        <f t="shared" si="138"/>
        <v>2024</v>
      </c>
    </row>
    <row r="861" spans="1:35">
      <c r="A861" t="s">
        <v>2659</v>
      </c>
      <c r="B861" s="2">
        <v>45592</v>
      </c>
      <c r="C861" s="2">
        <v>45597</v>
      </c>
      <c r="D861" t="s">
        <v>2660</v>
      </c>
      <c r="E861" t="s">
        <v>103</v>
      </c>
      <c r="F861" t="s">
        <v>104</v>
      </c>
      <c r="G861" t="s">
        <v>68</v>
      </c>
      <c r="H861" t="s">
        <v>262</v>
      </c>
      <c r="I861" t="s">
        <v>263</v>
      </c>
      <c r="J861" t="s">
        <v>88</v>
      </c>
      <c r="K861" t="s">
        <v>185</v>
      </c>
      <c r="L861" t="s">
        <v>2661</v>
      </c>
      <c r="M861" t="s">
        <v>73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46</v>
      </c>
      <c r="U861" t="s">
        <v>47</v>
      </c>
      <c r="V861" t="str">
        <f t="shared" si="129"/>
        <v>Valid</v>
      </c>
      <c r="W861">
        <f t="shared" si="130"/>
        <v>5</v>
      </c>
      <c r="Y861" t="str">
        <f t="shared" si="131"/>
        <v>OK</v>
      </c>
      <c r="Z861" t="str">
        <f t="shared" si="132"/>
        <v>OK</v>
      </c>
      <c r="AA861" t="str">
        <f t="shared" si="133"/>
        <v>OK</v>
      </c>
      <c r="AB861" t="str">
        <f t="shared" si="134"/>
        <v>Valid</v>
      </c>
      <c r="AC861" t="str">
        <f>IF(OR(AB861="Invalid Discount",V861="Invalid Shipping"),
"Invalid",
IF(OR(Y861="Missing Region",
Z861="Missing Ship Mode",
AA861="Missing Discount",
X861="Flagged for Review"),
"Warning",
"Clean"))</f>
        <v>Clean</v>
      </c>
      <c r="AD861">
        <f t="shared" si="135"/>
        <v>0.05</v>
      </c>
      <c r="AE861">
        <f>N861*O861*(1-AD861)</f>
        <v>25075.439999999995</v>
      </c>
      <c r="AF861">
        <f>AE861-R861</f>
        <v>8792.6999999999953</v>
      </c>
      <c r="AG861" s="3">
        <f t="shared" si="136"/>
        <v>0.35064987892535471</v>
      </c>
      <c r="AH861" t="str">
        <f t="shared" si="137"/>
        <v>October</v>
      </c>
      <c r="AI861">
        <f t="shared" si="138"/>
        <v>2024</v>
      </c>
    </row>
    <row r="862" spans="1:35">
      <c r="A862" t="s">
        <v>2662</v>
      </c>
      <c r="B862" s="2">
        <v>45324</v>
      </c>
      <c r="C862" s="2">
        <v>45326</v>
      </c>
      <c r="D862" t="s">
        <v>2663</v>
      </c>
      <c r="E862" t="s">
        <v>85</v>
      </c>
      <c r="F862" t="s">
        <v>109</v>
      </c>
      <c r="G862" t="s">
        <v>39</v>
      </c>
      <c r="H862" t="s">
        <v>150</v>
      </c>
      <c r="I862" t="s">
        <v>151</v>
      </c>
      <c r="J862" t="s">
        <v>42</v>
      </c>
      <c r="K862" t="s">
        <v>138</v>
      </c>
      <c r="L862" t="s">
        <v>2664</v>
      </c>
      <c r="M862" t="s">
        <v>45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46</v>
      </c>
      <c r="U862" t="s">
        <v>47</v>
      </c>
      <c r="V862" t="str">
        <f t="shared" si="129"/>
        <v>Valid</v>
      </c>
      <c r="W862">
        <f t="shared" si="130"/>
        <v>2</v>
      </c>
      <c r="Y862" t="str">
        <f t="shared" si="131"/>
        <v>OK</v>
      </c>
      <c r="Z862" t="str">
        <f t="shared" si="132"/>
        <v>OK</v>
      </c>
      <c r="AA862" t="str">
        <f t="shared" si="133"/>
        <v>OK</v>
      </c>
      <c r="AB862" t="str">
        <f t="shared" si="134"/>
        <v>Valid</v>
      </c>
      <c r="AC862" t="str">
        <f>IF(OR(AB862="Invalid Discount",V862="Invalid Shipping"),
"Invalid",
IF(OR(Y862="Missing Region",
Z862="Missing Ship Mode",
AA862="Missing Discount",
X862="Flagged for Review"),
"Warning",
"Clean"))</f>
        <v>Clean</v>
      </c>
      <c r="AD862">
        <f t="shared" si="135"/>
        <v>0.05</v>
      </c>
      <c r="AE862">
        <f>N862*O862*(1-AD862)</f>
        <v>4177.4539999999997</v>
      </c>
      <c r="AF862">
        <f>AE862-R862</f>
        <v>1877.9539999999997</v>
      </c>
      <c r="AG862" s="3">
        <f t="shared" si="136"/>
        <v>0.44954510570313877</v>
      </c>
      <c r="AH862" t="str">
        <f t="shared" si="137"/>
        <v>February</v>
      </c>
      <c r="AI862">
        <f t="shared" si="138"/>
        <v>2024</v>
      </c>
    </row>
    <row r="863" spans="1:35">
      <c r="A863" t="s">
        <v>2665</v>
      </c>
      <c r="B863" s="2">
        <v>45724</v>
      </c>
      <c r="C863" s="2">
        <v>45725</v>
      </c>
      <c r="D863" t="s">
        <v>2666</v>
      </c>
      <c r="E863" t="s">
        <v>128</v>
      </c>
      <c r="F863" t="s">
        <v>109</v>
      </c>
      <c r="G863" t="s">
        <v>39</v>
      </c>
      <c r="H863" t="s">
        <v>365</v>
      </c>
      <c r="I863" t="s">
        <v>366</v>
      </c>
      <c r="J863" t="s">
        <v>55</v>
      </c>
      <c r="K863" t="s">
        <v>71</v>
      </c>
      <c r="L863" t="s">
        <v>2667</v>
      </c>
      <c r="M863" t="s">
        <v>58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46</v>
      </c>
      <c r="U863" t="s">
        <v>47</v>
      </c>
      <c r="V863" t="str">
        <f t="shared" si="129"/>
        <v>Valid</v>
      </c>
      <c r="W863">
        <f t="shared" si="130"/>
        <v>1</v>
      </c>
      <c r="Y863" t="str">
        <f t="shared" si="131"/>
        <v>OK</v>
      </c>
      <c r="Z863" t="str">
        <f t="shared" si="132"/>
        <v>OK</v>
      </c>
      <c r="AA863" t="str">
        <f t="shared" si="133"/>
        <v>OK</v>
      </c>
      <c r="AB863" t="str">
        <f t="shared" si="134"/>
        <v>Valid</v>
      </c>
      <c r="AC863" t="str">
        <f>IF(OR(AB863="Invalid Discount",V863="Invalid Shipping"),
"Invalid",
IF(OR(Y863="Missing Region",
Z863="Missing Ship Mode",
AA863="Missing Discount",
X863="Flagged for Review"),
"Warning",
"Clean"))</f>
        <v>Clean</v>
      </c>
      <c r="AD863">
        <f t="shared" si="135"/>
        <v>0.2</v>
      </c>
      <c r="AE863">
        <f>N863*O863*(1-AD863)</f>
        <v>10898.175999999999</v>
      </c>
      <c r="AF863">
        <f>AE863-R863</f>
        <v>4666.7659999999996</v>
      </c>
      <c r="AG863" s="3">
        <f t="shared" si="136"/>
        <v>0.42821532704188298</v>
      </c>
      <c r="AH863" t="str">
        <f t="shared" si="137"/>
        <v>March</v>
      </c>
      <c r="AI863">
        <f t="shared" si="138"/>
        <v>2025</v>
      </c>
    </row>
    <row r="864" spans="1:35">
      <c r="A864" t="s">
        <v>2668</v>
      </c>
      <c r="B864" s="2">
        <v>45742</v>
      </c>
      <c r="C864" s="2">
        <v>45747</v>
      </c>
      <c r="D864" t="s">
        <v>2669</v>
      </c>
      <c r="E864" t="s">
        <v>128</v>
      </c>
      <c r="F864" t="s">
        <v>51</v>
      </c>
      <c r="G864" t="s">
        <v>52</v>
      </c>
      <c r="H864" t="s">
        <v>243</v>
      </c>
      <c r="I864" t="s">
        <v>244</v>
      </c>
      <c r="J864" t="s">
        <v>42</v>
      </c>
      <c r="K864" t="s">
        <v>167</v>
      </c>
      <c r="L864" t="s">
        <v>2670</v>
      </c>
      <c r="M864" t="s">
        <v>64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46</v>
      </c>
      <c r="U864" t="s">
        <v>82</v>
      </c>
      <c r="V864" t="str">
        <f t="shared" si="129"/>
        <v>Valid</v>
      </c>
      <c r="W864">
        <f t="shared" si="130"/>
        <v>5</v>
      </c>
      <c r="Y864" t="str">
        <f t="shared" si="131"/>
        <v>OK</v>
      </c>
      <c r="Z864" t="str">
        <f t="shared" si="132"/>
        <v>OK</v>
      </c>
      <c r="AA864" t="str">
        <f t="shared" si="133"/>
        <v>OK</v>
      </c>
      <c r="AB864" t="str">
        <f t="shared" si="134"/>
        <v>Valid</v>
      </c>
      <c r="AC864" t="str">
        <f>IF(OR(AB864="Invalid Discount",V864="Invalid Shipping"),
"Invalid",
IF(OR(Y864="Missing Region",
Z864="Missing Ship Mode",
AA864="Missing Discount",
X864="Flagged for Review"),
"Warning",
"Clean"))</f>
        <v>Clean</v>
      </c>
      <c r="AD864">
        <f t="shared" si="135"/>
        <v>0</v>
      </c>
      <c r="AE864">
        <f>N864*O864*(1-AD864)</f>
        <v>6975.7000000000007</v>
      </c>
      <c r="AF864">
        <f>AE864-R864</f>
        <v>2177.8200000000006</v>
      </c>
      <c r="AG864" s="3">
        <f t="shared" si="136"/>
        <v>0.3122009260719355</v>
      </c>
      <c r="AH864" t="str">
        <f t="shared" si="137"/>
        <v>March</v>
      </c>
      <c r="AI864">
        <f t="shared" si="138"/>
        <v>2025</v>
      </c>
    </row>
    <row r="865" spans="1:35">
      <c r="A865" t="s">
        <v>2671</v>
      </c>
      <c r="B865" s="2">
        <v>45906</v>
      </c>
      <c r="C865" s="2">
        <v>45908</v>
      </c>
      <c r="D865" t="s">
        <v>2672</v>
      </c>
      <c r="E865" t="s">
        <v>142</v>
      </c>
      <c r="F865" t="s">
        <v>109</v>
      </c>
      <c r="G865" t="s">
        <v>77</v>
      </c>
      <c r="H865" t="s">
        <v>86</v>
      </c>
      <c r="I865" t="s">
        <v>87</v>
      </c>
      <c r="J865" t="s">
        <v>55</v>
      </c>
      <c r="K865" t="s">
        <v>71</v>
      </c>
      <c r="L865" t="s">
        <v>2673</v>
      </c>
      <c r="M865" t="s">
        <v>58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46</v>
      </c>
      <c r="U865" t="s">
        <v>47</v>
      </c>
      <c r="V865" t="str">
        <f t="shared" si="129"/>
        <v>Valid</v>
      </c>
      <c r="W865">
        <f t="shared" si="130"/>
        <v>2</v>
      </c>
      <c r="Y865" t="str">
        <f t="shared" si="131"/>
        <v>OK</v>
      </c>
      <c r="Z865" t="str">
        <f t="shared" si="132"/>
        <v>OK</v>
      </c>
      <c r="AA865" t="str">
        <f t="shared" si="133"/>
        <v>OK</v>
      </c>
      <c r="AB865" t="str">
        <f t="shared" si="134"/>
        <v>Valid</v>
      </c>
      <c r="AC865" t="str">
        <f>IF(OR(AB865="Invalid Discount",V865="Invalid Shipping"),
"Invalid",
IF(OR(Y865="Missing Region",
Z865="Missing Ship Mode",
AA865="Missing Discount",
X865="Flagged for Review"),
"Warning",
"Clean"))</f>
        <v>Clean</v>
      </c>
      <c r="AD865">
        <f t="shared" si="135"/>
        <v>0</v>
      </c>
      <c r="AE865">
        <f>N865*O865*(1-AD865)</f>
        <v>8811.69</v>
      </c>
      <c r="AF865">
        <f>AE865-R865</f>
        <v>2045.7800000000007</v>
      </c>
      <c r="AG865" s="3">
        <f t="shared" si="136"/>
        <v>0.23216658779416893</v>
      </c>
      <c r="AH865" t="str">
        <f t="shared" si="137"/>
        <v>September</v>
      </c>
      <c r="AI865">
        <f t="shared" si="138"/>
        <v>2025</v>
      </c>
    </row>
    <row r="866" spans="1:35">
      <c r="A866" t="s">
        <v>2674</v>
      </c>
      <c r="B866" s="2">
        <v>45902</v>
      </c>
      <c r="C866" s="2">
        <v>45905</v>
      </c>
      <c r="D866" t="s">
        <v>2675</v>
      </c>
      <c r="E866" t="s">
        <v>85</v>
      </c>
      <c r="F866" t="s">
        <v>38</v>
      </c>
      <c r="G866" t="s">
        <v>68</v>
      </c>
      <c r="H866" t="s">
        <v>262</v>
      </c>
      <c r="I866" t="s">
        <v>263</v>
      </c>
      <c r="J866" t="s">
        <v>88</v>
      </c>
      <c r="K866" t="s">
        <v>185</v>
      </c>
      <c r="L866" t="s">
        <v>2676</v>
      </c>
      <c r="M866" t="s">
        <v>64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46</v>
      </c>
      <c r="U866" t="s">
        <v>47</v>
      </c>
      <c r="V866" t="str">
        <f t="shared" si="129"/>
        <v>Valid</v>
      </c>
      <c r="W866">
        <f t="shared" si="130"/>
        <v>3</v>
      </c>
      <c r="Y866" t="str">
        <f t="shared" si="131"/>
        <v>OK</v>
      </c>
      <c r="Z866" t="str">
        <f t="shared" si="132"/>
        <v>OK</v>
      </c>
      <c r="AA866" t="str">
        <f t="shared" si="133"/>
        <v>OK</v>
      </c>
      <c r="AB866" t="str">
        <f t="shared" si="134"/>
        <v>Valid</v>
      </c>
      <c r="AC866" t="str">
        <f>IF(OR(AB866="Invalid Discount",V866="Invalid Shipping"),
"Invalid",
IF(OR(Y866="Missing Region",
Z866="Missing Ship Mode",
AA866="Missing Discount",
X866="Flagged for Review"),
"Warning",
"Clean"))</f>
        <v>Clean</v>
      </c>
      <c r="AD866">
        <f t="shared" si="135"/>
        <v>0</v>
      </c>
      <c r="AE866">
        <f>N866*O866*(1-AD866)</f>
        <v>17034.349999999999</v>
      </c>
      <c r="AF866">
        <f>AE866-R866</f>
        <v>2402.989999999998</v>
      </c>
      <c r="AG866" s="3">
        <f t="shared" si="136"/>
        <v>0.14106731398615141</v>
      </c>
      <c r="AH866" t="str">
        <f t="shared" si="137"/>
        <v>September</v>
      </c>
      <c r="AI866">
        <f t="shared" si="138"/>
        <v>2025</v>
      </c>
    </row>
    <row r="867" spans="1:35">
      <c r="A867" t="s">
        <v>2677</v>
      </c>
      <c r="B867" s="2">
        <v>45694</v>
      </c>
      <c r="C867" s="2">
        <v>45702</v>
      </c>
      <c r="D867" t="s">
        <v>2678</v>
      </c>
      <c r="E867" t="s">
        <v>279</v>
      </c>
      <c r="F867" t="s">
        <v>38</v>
      </c>
      <c r="G867" t="s">
        <v>77</v>
      </c>
      <c r="H867" t="s">
        <v>78</v>
      </c>
      <c r="I867" t="s">
        <v>79</v>
      </c>
      <c r="J867" t="s">
        <v>42</v>
      </c>
      <c r="K867" t="s">
        <v>105</v>
      </c>
      <c r="L867" t="s">
        <v>2679</v>
      </c>
      <c r="M867" t="s">
        <v>45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46</v>
      </c>
      <c r="U867" t="s">
        <v>47</v>
      </c>
      <c r="V867" t="str">
        <f t="shared" si="129"/>
        <v>Valid</v>
      </c>
      <c r="W867">
        <f t="shared" si="130"/>
        <v>8</v>
      </c>
      <c r="Y867" t="str">
        <f t="shared" si="131"/>
        <v>OK</v>
      </c>
      <c r="Z867" t="str">
        <f t="shared" si="132"/>
        <v>OK</v>
      </c>
      <c r="AA867" t="str">
        <f t="shared" si="133"/>
        <v>OK</v>
      </c>
      <c r="AB867" t="str">
        <f t="shared" si="134"/>
        <v>Valid</v>
      </c>
      <c r="AC867" t="str">
        <f>IF(OR(AB867="Invalid Discount",V867="Invalid Shipping"),
"Invalid",
IF(OR(Y867="Missing Region",
Z867="Missing Ship Mode",
AA867="Missing Discount",
X867="Flagged for Review"),
"Warning",
"Clean"))</f>
        <v>Clean</v>
      </c>
      <c r="AD867">
        <f t="shared" si="135"/>
        <v>0</v>
      </c>
      <c r="AE867">
        <f>N867*O867*(1-AD867)</f>
        <v>7984.08</v>
      </c>
      <c r="AF867">
        <f>AE867-R867</f>
        <v>2326.0299999999997</v>
      </c>
      <c r="AG867" s="3">
        <f t="shared" si="136"/>
        <v>0.29133350367230787</v>
      </c>
      <c r="AH867" t="str">
        <f t="shared" si="137"/>
        <v>February</v>
      </c>
      <c r="AI867">
        <f t="shared" si="138"/>
        <v>2025</v>
      </c>
    </row>
    <row r="868" spans="1:35">
      <c r="A868" t="s">
        <v>2680</v>
      </c>
      <c r="B868" s="2">
        <v>45714</v>
      </c>
      <c r="C868" s="2">
        <v>45722</v>
      </c>
      <c r="D868" t="s">
        <v>2681</v>
      </c>
      <c r="E868" t="s">
        <v>128</v>
      </c>
      <c r="F868" t="s">
        <v>38</v>
      </c>
      <c r="G868" t="s">
        <v>52</v>
      </c>
      <c r="H868" t="s">
        <v>159</v>
      </c>
      <c r="I868" t="s">
        <v>160</v>
      </c>
      <c r="J868" t="s">
        <v>55</v>
      </c>
      <c r="K868" t="s">
        <v>172</v>
      </c>
      <c r="L868" t="s">
        <v>2682</v>
      </c>
      <c r="M868" t="s">
        <v>64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125</v>
      </c>
      <c r="U868" t="s">
        <v>82</v>
      </c>
      <c r="V868" t="str">
        <f t="shared" si="129"/>
        <v>Valid</v>
      </c>
      <c r="W868">
        <f t="shared" si="130"/>
        <v>8</v>
      </c>
      <c r="Y868" t="str">
        <f t="shared" si="131"/>
        <v>OK</v>
      </c>
      <c r="Z868" t="str">
        <f t="shared" si="132"/>
        <v>OK</v>
      </c>
      <c r="AA868" t="str">
        <f t="shared" si="133"/>
        <v>OK</v>
      </c>
      <c r="AB868" t="str">
        <f t="shared" si="134"/>
        <v>Valid</v>
      </c>
      <c r="AC868" t="str">
        <f>IF(OR(AB868="Invalid Discount",V868="Invalid Shipping"),
"Invalid",
IF(OR(Y868="Missing Region",
Z868="Missing Ship Mode",
AA868="Missing Discount",
X868="Flagged for Review"),
"Warning",
"Clean"))</f>
        <v>Clean</v>
      </c>
      <c r="AD868">
        <f t="shared" si="135"/>
        <v>0.2</v>
      </c>
      <c r="AE868">
        <f>N868*O868*(1-AD868)</f>
        <v>21912.263999999999</v>
      </c>
      <c r="AF868">
        <f>AE868-R868</f>
        <v>5544.4839999999986</v>
      </c>
      <c r="AG868" s="3">
        <f t="shared" si="136"/>
        <v>0.25303108797885965</v>
      </c>
      <c r="AH868" t="str">
        <f t="shared" si="137"/>
        <v>February</v>
      </c>
      <c r="AI868">
        <f t="shared" si="138"/>
        <v>2025</v>
      </c>
    </row>
    <row r="869" spans="1:35">
      <c r="A869" t="s">
        <v>2683</v>
      </c>
      <c r="B869" s="2">
        <v>45617</v>
      </c>
      <c r="C869" s="2">
        <v>45618</v>
      </c>
      <c r="D869" t="s">
        <v>2684</v>
      </c>
      <c r="E869" t="s">
        <v>132</v>
      </c>
      <c r="F869" t="s">
        <v>109</v>
      </c>
      <c r="G869" t="s">
        <v>68</v>
      </c>
      <c r="H869" t="s">
        <v>98</v>
      </c>
      <c r="I869" t="s">
        <v>99</v>
      </c>
      <c r="J869" t="s">
        <v>88</v>
      </c>
      <c r="K869" t="s">
        <v>89</v>
      </c>
      <c r="L869" t="s">
        <v>2685</v>
      </c>
      <c r="M869" t="s">
        <v>58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169</v>
      </c>
      <c r="U869" t="s">
        <v>82</v>
      </c>
      <c r="V869" t="str">
        <f t="shared" si="129"/>
        <v>Valid</v>
      </c>
      <c r="W869">
        <f t="shared" si="130"/>
        <v>1</v>
      </c>
      <c r="Y869" t="str">
        <f t="shared" si="131"/>
        <v>OK</v>
      </c>
      <c r="Z869" t="str">
        <f t="shared" si="132"/>
        <v>OK</v>
      </c>
      <c r="AA869" t="str">
        <f t="shared" si="133"/>
        <v>OK</v>
      </c>
      <c r="AB869" t="str">
        <f t="shared" si="134"/>
        <v>Valid</v>
      </c>
      <c r="AC869" t="str">
        <f>IF(OR(AB869="Invalid Discount",V869="Invalid Shipping"),
"Invalid",
IF(OR(Y869="Missing Region",
Z869="Missing Ship Mode",
AA869="Missing Discount",
X869="Flagged for Review"),
"Warning",
"Clean"))</f>
        <v>Clean</v>
      </c>
      <c r="AD869">
        <f t="shared" si="135"/>
        <v>0.25</v>
      </c>
      <c r="AE869">
        <f>N869*O869*(1-AD869)</f>
        <v>4695.7049999999999</v>
      </c>
      <c r="AF869">
        <f>AE869-R869</f>
        <v>824.01499999999987</v>
      </c>
      <c r="AG869" s="3">
        <f t="shared" si="136"/>
        <v>0.17548270174553127</v>
      </c>
      <c r="AH869" t="str">
        <f t="shared" si="137"/>
        <v>November</v>
      </c>
      <c r="AI869">
        <f t="shared" si="138"/>
        <v>2024</v>
      </c>
    </row>
    <row r="870" spans="1:35">
      <c r="A870" t="s">
        <v>2686</v>
      </c>
      <c r="B870" s="2">
        <v>45758</v>
      </c>
      <c r="C870" s="2">
        <v>45762</v>
      </c>
      <c r="D870" t="s">
        <v>2687</v>
      </c>
      <c r="E870" t="s">
        <v>85</v>
      </c>
      <c r="F870" t="s">
        <v>109</v>
      </c>
      <c r="G870" t="s">
        <v>68</v>
      </c>
      <c r="H870" t="s">
        <v>189</v>
      </c>
      <c r="I870" t="s">
        <v>190</v>
      </c>
      <c r="J870" t="s">
        <v>42</v>
      </c>
      <c r="K870" t="s">
        <v>138</v>
      </c>
      <c r="L870" t="s">
        <v>2688</v>
      </c>
      <c r="M870" t="s">
        <v>58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46</v>
      </c>
      <c r="U870" t="s">
        <v>47</v>
      </c>
      <c r="V870" t="str">
        <f t="shared" si="129"/>
        <v>Valid</v>
      </c>
      <c r="W870">
        <f t="shared" si="130"/>
        <v>4</v>
      </c>
      <c r="Y870" t="str">
        <f t="shared" si="131"/>
        <v>OK</v>
      </c>
      <c r="Z870" t="str">
        <f t="shared" si="132"/>
        <v>OK</v>
      </c>
      <c r="AA870" t="str">
        <f t="shared" si="133"/>
        <v>OK</v>
      </c>
      <c r="AB870" t="str">
        <f t="shared" si="134"/>
        <v>Valid</v>
      </c>
      <c r="AC870" t="str">
        <f>IF(OR(AB870="Invalid Discount",V870="Invalid Shipping"),
"Invalid",
IF(OR(Y870="Missing Region",
Z870="Missing Ship Mode",
AA870="Missing Discount",
X870="Flagged for Review"),
"Warning",
"Clean"))</f>
        <v>Clean</v>
      </c>
      <c r="AD870">
        <f t="shared" si="135"/>
        <v>0.05</v>
      </c>
      <c r="AE870">
        <f>N870*O870*(1-AD870)</f>
        <v>1923.2369999999999</v>
      </c>
      <c r="AF870">
        <f>AE870-R870</f>
        <v>829.57699999999977</v>
      </c>
      <c r="AG870" s="3">
        <f t="shared" si="136"/>
        <v>0.43134413491420964</v>
      </c>
      <c r="AH870" t="str">
        <f t="shared" si="137"/>
        <v>April</v>
      </c>
      <c r="AI870">
        <f t="shared" si="138"/>
        <v>2025</v>
      </c>
    </row>
    <row r="871" spans="1:35">
      <c r="A871" t="s">
        <v>2689</v>
      </c>
      <c r="B871" s="2">
        <v>45722</v>
      </c>
      <c r="C871" s="2">
        <v>45723</v>
      </c>
      <c r="D871" t="s">
        <v>2690</v>
      </c>
      <c r="E871" t="s">
        <v>155</v>
      </c>
      <c r="F871" t="s">
        <v>109</v>
      </c>
      <c r="G871" t="s">
        <v>219</v>
      </c>
      <c r="H871" t="s">
        <v>365</v>
      </c>
      <c r="I871" t="s">
        <v>366</v>
      </c>
      <c r="J871" t="s">
        <v>55</v>
      </c>
      <c r="K871" t="s">
        <v>80</v>
      </c>
      <c r="L871" t="s">
        <v>1161</v>
      </c>
      <c r="M871" t="s">
        <v>58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46</v>
      </c>
      <c r="U871" t="s">
        <v>47</v>
      </c>
      <c r="V871" t="str">
        <f t="shared" si="129"/>
        <v>Valid</v>
      </c>
      <c r="W871">
        <f t="shared" si="130"/>
        <v>1</v>
      </c>
      <c r="Y871" t="str">
        <f t="shared" si="131"/>
        <v>Missing Region</v>
      </c>
      <c r="Z871" t="str">
        <f t="shared" si="132"/>
        <v>OK</v>
      </c>
      <c r="AA871" t="str">
        <f t="shared" si="133"/>
        <v>OK</v>
      </c>
      <c r="AB871" t="str">
        <f t="shared" si="134"/>
        <v>Valid</v>
      </c>
      <c r="AC871" t="str">
        <f>IF(OR(AB871="Invalid Discount",V871="Invalid Shipping"),
"Invalid",
IF(OR(Y871="Missing Region",
Z871="Missing Ship Mode",
AA871="Missing Discount",
X871="Flagged for Review"),
"Warning",
"Clean"))</f>
        <v>Warning</v>
      </c>
      <c r="AD871">
        <f t="shared" si="135"/>
        <v>0.1</v>
      </c>
      <c r="AE871">
        <f>N871*O871*(1-AD871)</f>
        <v>4301.91</v>
      </c>
      <c r="AF871">
        <f>AE871-R871</f>
        <v>1927.5099999999998</v>
      </c>
      <c r="AG871" s="3">
        <f t="shared" si="136"/>
        <v>0.44805911792668834</v>
      </c>
      <c r="AH871" t="str">
        <f t="shared" si="137"/>
        <v>March</v>
      </c>
      <c r="AI871">
        <f t="shared" si="138"/>
        <v>2025</v>
      </c>
    </row>
    <row r="872" spans="1:35">
      <c r="A872" t="s">
        <v>2691</v>
      </c>
      <c r="B872" s="2">
        <v>45814</v>
      </c>
      <c r="C872" s="2">
        <v>45815</v>
      </c>
      <c r="D872" t="s">
        <v>2692</v>
      </c>
      <c r="E872" t="s">
        <v>85</v>
      </c>
      <c r="F872" t="s">
        <v>104</v>
      </c>
      <c r="G872" t="s">
        <v>77</v>
      </c>
      <c r="H872" t="s">
        <v>204</v>
      </c>
      <c r="I872" t="s">
        <v>205</v>
      </c>
      <c r="J872" t="s">
        <v>55</v>
      </c>
      <c r="K872" t="s">
        <v>56</v>
      </c>
      <c r="L872" t="s">
        <v>2693</v>
      </c>
      <c r="M872" t="s">
        <v>73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46</v>
      </c>
      <c r="U872" t="s">
        <v>82</v>
      </c>
      <c r="V872" t="str">
        <f t="shared" si="129"/>
        <v>Valid</v>
      </c>
      <c r="W872">
        <f t="shared" si="130"/>
        <v>1</v>
      </c>
      <c r="Y872" t="str">
        <f t="shared" si="131"/>
        <v>OK</v>
      </c>
      <c r="Z872" t="str">
        <f t="shared" si="132"/>
        <v>OK</v>
      </c>
      <c r="AA872" t="str">
        <f t="shared" si="133"/>
        <v>OK</v>
      </c>
      <c r="AB872" t="str">
        <f t="shared" si="134"/>
        <v>Valid</v>
      </c>
      <c r="AC872" t="str">
        <f>IF(OR(AB872="Invalid Discount",V872="Invalid Shipping"),
"Invalid",
IF(OR(Y872="Missing Region",
Z872="Missing Ship Mode",
AA872="Missing Discount",
X872="Flagged for Review"),
"Warning",
"Clean"))</f>
        <v>Clean</v>
      </c>
      <c r="AD872">
        <f t="shared" si="135"/>
        <v>0.15</v>
      </c>
      <c r="AE872">
        <f>N872*O872*(1-AD872)</f>
        <v>22436.838</v>
      </c>
      <c r="AF872">
        <f>AE872-R872</f>
        <v>4982.1680000000015</v>
      </c>
      <c r="AG872" s="3">
        <f t="shared" si="136"/>
        <v>0.22205303617203109</v>
      </c>
      <c r="AH872" t="str">
        <f t="shared" si="137"/>
        <v>June</v>
      </c>
      <c r="AI872">
        <f t="shared" si="138"/>
        <v>2025</v>
      </c>
    </row>
    <row r="873" spans="1:35">
      <c r="A873" t="s">
        <v>2694</v>
      </c>
      <c r="B873" s="2">
        <v>45342</v>
      </c>
      <c r="C873" s="2">
        <v>45344</v>
      </c>
      <c r="D873" t="s">
        <v>2565</v>
      </c>
      <c r="E873" t="s">
        <v>93</v>
      </c>
      <c r="F873" t="s">
        <v>51</v>
      </c>
      <c r="G873" t="s">
        <v>68</v>
      </c>
      <c r="H873" t="s">
        <v>69</v>
      </c>
      <c r="I873" t="s">
        <v>70</v>
      </c>
      <c r="J873" t="s">
        <v>88</v>
      </c>
      <c r="K873" t="s">
        <v>89</v>
      </c>
      <c r="L873" t="s">
        <v>2695</v>
      </c>
      <c r="M873" t="s">
        <v>64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116</v>
      </c>
      <c r="U873" t="s">
        <v>82</v>
      </c>
      <c r="V873" t="str">
        <f t="shared" si="129"/>
        <v>Valid</v>
      </c>
      <c r="W873">
        <f t="shared" si="130"/>
        <v>2</v>
      </c>
      <c r="Y873" t="str">
        <f t="shared" si="131"/>
        <v>OK</v>
      </c>
      <c r="Z873" t="str">
        <f t="shared" si="132"/>
        <v>OK</v>
      </c>
      <c r="AA873" t="str">
        <f t="shared" si="133"/>
        <v>OK</v>
      </c>
      <c r="AB873" t="str">
        <f t="shared" si="134"/>
        <v>Valid</v>
      </c>
      <c r="AC873" t="str">
        <f>IF(OR(AB873="Invalid Discount",V873="Invalid Shipping"),
"Invalid",
IF(OR(Y873="Missing Region",
Z873="Missing Ship Mode",
AA873="Missing Discount",
X873="Flagged for Review"),
"Warning",
"Clean"))</f>
        <v>Clean</v>
      </c>
      <c r="AD873">
        <f t="shared" si="135"/>
        <v>0</v>
      </c>
      <c r="AE873">
        <f>N873*O873*(1-AD873)</f>
        <v>19676.07</v>
      </c>
      <c r="AF873">
        <f>AE873-R873</f>
        <v>7217.4499999999989</v>
      </c>
      <c r="AG873" s="3">
        <f t="shared" si="136"/>
        <v>0.36681359641432454</v>
      </c>
      <c r="AH873" t="str">
        <f t="shared" si="137"/>
        <v>February</v>
      </c>
      <c r="AI873">
        <f t="shared" si="138"/>
        <v>2024</v>
      </c>
    </row>
    <row r="874" spans="1:35">
      <c r="A874" t="s">
        <v>2696</v>
      </c>
      <c r="B874" s="2">
        <v>45597</v>
      </c>
      <c r="C874" s="2">
        <v>45598</v>
      </c>
      <c r="D874" t="s">
        <v>1974</v>
      </c>
      <c r="E874" t="s">
        <v>37</v>
      </c>
      <c r="F874" t="s">
        <v>104</v>
      </c>
      <c r="G874" t="s">
        <v>52</v>
      </c>
      <c r="H874" t="s">
        <v>113</v>
      </c>
      <c r="I874" t="s">
        <v>114</v>
      </c>
      <c r="J874" t="s">
        <v>55</v>
      </c>
      <c r="K874" t="s">
        <v>71</v>
      </c>
      <c r="L874" t="s">
        <v>2697</v>
      </c>
      <c r="M874" t="s">
        <v>73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46</v>
      </c>
      <c r="U874" t="s">
        <v>47</v>
      </c>
      <c r="V874" t="str">
        <f t="shared" si="129"/>
        <v>Valid</v>
      </c>
      <c r="W874">
        <f t="shared" si="130"/>
        <v>1</v>
      </c>
      <c r="Y874" t="str">
        <f t="shared" si="131"/>
        <v>OK</v>
      </c>
      <c r="Z874" t="str">
        <f t="shared" si="132"/>
        <v>OK</v>
      </c>
      <c r="AA874" t="str">
        <f t="shared" si="133"/>
        <v>OK</v>
      </c>
      <c r="AB874" t="str">
        <f t="shared" si="134"/>
        <v>Valid</v>
      </c>
      <c r="AC874" t="str">
        <f>IF(OR(AB874="Invalid Discount",V874="Invalid Shipping"),
"Invalid",
IF(OR(Y874="Missing Region",
Z874="Missing Ship Mode",
AA874="Missing Discount",
X874="Flagged for Review"),
"Warning",
"Clean"))</f>
        <v>Clean</v>
      </c>
      <c r="AD874">
        <f t="shared" si="135"/>
        <v>0.2</v>
      </c>
      <c r="AE874">
        <f>N874*O874*(1-AD874)</f>
        <v>8848.08</v>
      </c>
      <c r="AF874">
        <f>AE874-R874</f>
        <v>3156.5199999999995</v>
      </c>
      <c r="AG874" s="3">
        <f t="shared" si="136"/>
        <v>0.35674632236598219</v>
      </c>
      <c r="AH874" t="str">
        <f t="shared" si="137"/>
        <v>November</v>
      </c>
      <c r="AI874">
        <f t="shared" si="138"/>
        <v>2024</v>
      </c>
    </row>
    <row r="875" spans="1:35">
      <c r="A875" t="s">
        <v>2698</v>
      </c>
      <c r="B875" s="2">
        <v>45689</v>
      </c>
      <c r="C875" s="2">
        <v>45696</v>
      </c>
      <c r="D875" t="s">
        <v>2699</v>
      </c>
      <c r="E875" t="s">
        <v>103</v>
      </c>
      <c r="F875" t="s">
        <v>109</v>
      </c>
      <c r="G875" t="s">
        <v>77</v>
      </c>
      <c r="H875" t="s">
        <v>194</v>
      </c>
      <c r="I875" t="s">
        <v>195</v>
      </c>
      <c r="J875" t="s">
        <v>42</v>
      </c>
      <c r="K875" t="s">
        <v>138</v>
      </c>
      <c r="L875" t="s">
        <v>2700</v>
      </c>
      <c r="M875" t="s">
        <v>45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46</v>
      </c>
      <c r="U875" t="s">
        <v>47</v>
      </c>
      <c r="V875" t="str">
        <f t="shared" si="129"/>
        <v>Valid</v>
      </c>
      <c r="W875">
        <f t="shared" si="130"/>
        <v>7</v>
      </c>
      <c r="Y875" t="str">
        <f t="shared" si="131"/>
        <v>OK</v>
      </c>
      <c r="Z875" t="str">
        <f t="shared" si="132"/>
        <v>OK</v>
      </c>
      <c r="AA875" t="str">
        <f t="shared" si="133"/>
        <v>OK</v>
      </c>
      <c r="AB875" t="str">
        <f t="shared" si="134"/>
        <v>Valid</v>
      </c>
      <c r="AC875" t="str">
        <f>IF(OR(AB875="Invalid Discount",V875="Invalid Shipping"),
"Invalid",
IF(OR(Y875="Missing Region",
Z875="Missing Ship Mode",
AA875="Missing Discount",
X875="Flagged for Review"),
"Warning",
"Clean"))</f>
        <v>Clean</v>
      </c>
      <c r="AD875">
        <f t="shared" si="135"/>
        <v>0.1</v>
      </c>
      <c r="AE875">
        <f>N875*O875*(1-AD875)</f>
        <v>4487.8319999999994</v>
      </c>
      <c r="AF875">
        <f>AE875-R875</f>
        <v>1854.0519999999992</v>
      </c>
      <c r="AG875" s="3">
        <f t="shared" si="136"/>
        <v>0.41312865543986482</v>
      </c>
      <c r="AH875" t="str">
        <f t="shared" si="137"/>
        <v>February</v>
      </c>
      <c r="AI875">
        <f t="shared" si="138"/>
        <v>2025</v>
      </c>
    </row>
    <row r="876" spans="1:35">
      <c r="A876" t="s">
        <v>2701</v>
      </c>
      <c r="B876" s="2">
        <v>45853</v>
      </c>
      <c r="C876" s="2">
        <v>45854</v>
      </c>
      <c r="D876" t="s">
        <v>2702</v>
      </c>
      <c r="E876" t="s">
        <v>85</v>
      </c>
      <c r="F876" t="s">
        <v>51</v>
      </c>
      <c r="G876" t="s">
        <v>77</v>
      </c>
      <c r="H876" t="s">
        <v>78</v>
      </c>
      <c r="I876" t="s">
        <v>79</v>
      </c>
      <c r="J876" t="s">
        <v>42</v>
      </c>
      <c r="K876" t="s">
        <v>43</v>
      </c>
      <c r="L876" t="s">
        <v>2703</v>
      </c>
      <c r="M876" t="s">
        <v>73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46</v>
      </c>
      <c r="U876" t="s">
        <v>47</v>
      </c>
      <c r="V876" t="str">
        <f t="shared" si="129"/>
        <v>Valid</v>
      </c>
      <c r="W876">
        <f t="shared" si="130"/>
        <v>1</v>
      </c>
      <c r="Y876" t="str">
        <f t="shared" si="131"/>
        <v>OK</v>
      </c>
      <c r="Z876" t="str">
        <f t="shared" si="132"/>
        <v>OK</v>
      </c>
      <c r="AA876" t="str">
        <f t="shared" si="133"/>
        <v>OK</v>
      </c>
      <c r="AB876" t="str">
        <f t="shared" si="134"/>
        <v>Valid</v>
      </c>
      <c r="AC876" t="str">
        <f>IF(OR(AB876="Invalid Discount",V876="Invalid Shipping"),
"Invalid",
IF(OR(Y876="Missing Region",
Z876="Missing Ship Mode",
AA876="Missing Discount",
X876="Flagged for Review"),
"Warning",
"Clean"))</f>
        <v>Clean</v>
      </c>
      <c r="AD876">
        <f t="shared" si="135"/>
        <v>0.05</v>
      </c>
      <c r="AE876">
        <f>N876*O876*(1-AD876)</f>
        <v>29829.088</v>
      </c>
      <c r="AF876">
        <f>AE876-R876</f>
        <v>9118.9079999999994</v>
      </c>
      <c r="AG876" s="3">
        <f t="shared" si="136"/>
        <v>0.30570522303598419</v>
      </c>
      <c r="AH876" t="str">
        <f t="shared" si="137"/>
        <v>July</v>
      </c>
      <c r="AI876">
        <f t="shared" si="138"/>
        <v>2025</v>
      </c>
    </row>
    <row r="877" spans="1:35">
      <c r="A877" t="s">
        <v>2704</v>
      </c>
      <c r="B877" s="2">
        <v>45514</v>
      </c>
      <c r="C877" s="2">
        <v>45515</v>
      </c>
      <c r="D877" t="s">
        <v>2705</v>
      </c>
      <c r="E877" t="s">
        <v>50</v>
      </c>
      <c r="F877" t="s">
        <v>104</v>
      </c>
      <c r="G877" t="s">
        <v>77</v>
      </c>
      <c r="H877" t="s">
        <v>78</v>
      </c>
      <c r="I877" t="s">
        <v>79</v>
      </c>
      <c r="J877" t="s">
        <v>88</v>
      </c>
      <c r="K877" t="s">
        <v>94</v>
      </c>
      <c r="L877" t="s">
        <v>2706</v>
      </c>
      <c r="M877" t="s">
        <v>64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46</v>
      </c>
      <c r="U877" t="s">
        <v>47</v>
      </c>
      <c r="V877" t="str">
        <f t="shared" si="129"/>
        <v>Valid</v>
      </c>
      <c r="W877">
        <f t="shared" si="130"/>
        <v>1</v>
      </c>
      <c r="Y877" t="str">
        <f t="shared" si="131"/>
        <v>OK</v>
      </c>
      <c r="Z877" t="str">
        <f t="shared" si="132"/>
        <v>OK</v>
      </c>
      <c r="AA877" t="str">
        <f t="shared" si="133"/>
        <v>OK</v>
      </c>
      <c r="AB877" t="str">
        <f t="shared" si="134"/>
        <v>Valid</v>
      </c>
      <c r="AC877" t="str">
        <f>IF(OR(AB877="Invalid Discount",V877="Invalid Shipping"),
"Invalid",
IF(OR(Y877="Missing Region",
Z877="Missing Ship Mode",
AA877="Missing Discount",
X877="Flagged for Review"),
"Warning",
"Clean"))</f>
        <v>Clean</v>
      </c>
      <c r="AD877">
        <f t="shared" si="135"/>
        <v>0.2</v>
      </c>
      <c r="AE877">
        <f>N877*O877*(1-AD877)</f>
        <v>21574.672000000002</v>
      </c>
      <c r="AF877">
        <f>AE877-R877</f>
        <v>6901.8420000000024</v>
      </c>
      <c r="AG877" s="3">
        <f t="shared" si="136"/>
        <v>0.31990484026825539</v>
      </c>
      <c r="AH877" t="str">
        <f t="shared" si="137"/>
        <v>August</v>
      </c>
      <c r="AI877">
        <f t="shared" si="138"/>
        <v>2024</v>
      </c>
    </row>
    <row r="878" spans="1:35">
      <c r="A878" t="s">
        <v>2707</v>
      </c>
      <c r="B878" s="2">
        <v>45614</v>
      </c>
      <c r="C878" s="2">
        <v>45616</v>
      </c>
      <c r="D878" t="s">
        <v>2708</v>
      </c>
      <c r="E878" t="s">
        <v>128</v>
      </c>
      <c r="F878" t="s">
        <v>38</v>
      </c>
      <c r="G878" t="s">
        <v>77</v>
      </c>
      <c r="H878" t="s">
        <v>40</v>
      </c>
      <c r="I878" t="s">
        <v>123</v>
      </c>
      <c r="J878" t="s">
        <v>55</v>
      </c>
      <c r="K878" t="s">
        <v>80</v>
      </c>
      <c r="L878" t="s">
        <v>859</v>
      </c>
      <c r="M878" t="s">
        <v>64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46</v>
      </c>
      <c r="U878" t="s">
        <v>47</v>
      </c>
      <c r="V878" t="str">
        <f t="shared" si="129"/>
        <v>Valid</v>
      </c>
      <c r="W878">
        <f t="shared" si="130"/>
        <v>2</v>
      </c>
      <c r="Y878" t="str">
        <f t="shared" si="131"/>
        <v>OK</v>
      </c>
      <c r="Z878" t="str">
        <f t="shared" si="132"/>
        <v>OK</v>
      </c>
      <c r="AA878" t="str">
        <f t="shared" si="133"/>
        <v>OK</v>
      </c>
      <c r="AB878" t="str">
        <f t="shared" si="134"/>
        <v>Valid</v>
      </c>
      <c r="AC878" t="str">
        <f>IF(OR(AB878="Invalid Discount",V878="Invalid Shipping"),
"Invalid",
IF(OR(Y878="Missing Region",
Z878="Missing Ship Mode",
AA878="Missing Discount",
X878="Flagged for Review"),
"Warning",
"Clean"))</f>
        <v>Clean</v>
      </c>
      <c r="AD878">
        <f t="shared" si="135"/>
        <v>0</v>
      </c>
      <c r="AE878">
        <f>N878*O878*(1-AD878)</f>
        <v>22741.32</v>
      </c>
      <c r="AF878">
        <f>AE878-R878</f>
        <v>6352.75</v>
      </c>
      <c r="AG878" s="3">
        <f t="shared" si="136"/>
        <v>0.27934834037777928</v>
      </c>
      <c r="AH878" t="str">
        <f t="shared" si="137"/>
        <v>November</v>
      </c>
      <c r="AI878">
        <f t="shared" si="138"/>
        <v>2024</v>
      </c>
    </row>
    <row r="879" spans="1:35">
      <c r="A879" t="s">
        <v>2709</v>
      </c>
      <c r="B879" s="2">
        <v>45895</v>
      </c>
      <c r="C879" s="2">
        <v>45903</v>
      </c>
      <c r="D879" t="s">
        <v>2710</v>
      </c>
      <c r="E879" t="s">
        <v>142</v>
      </c>
      <c r="F879" t="s">
        <v>38</v>
      </c>
      <c r="G879" t="s">
        <v>77</v>
      </c>
      <c r="H879" t="s">
        <v>40</v>
      </c>
      <c r="I879" t="s">
        <v>123</v>
      </c>
      <c r="J879" t="s">
        <v>42</v>
      </c>
      <c r="K879" t="s">
        <v>138</v>
      </c>
      <c r="L879" t="s">
        <v>2711</v>
      </c>
      <c r="M879" t="s">
        <v>45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46</v>
      </c>
      <c r="U879" t="s">
        <v>47</v>
      </c>
      <c r="V879" t="str">
        <f t="shared" si="129"/>
        <v>Valid</v>
      </c>
      <c r="W879">
        <f t="shared" si="130"/>
        <v>8</v>
      </c>
      <c r="Y879" t="str">
        <f t="shared" si="131"/>
        <v>OK</v>
      </c>
      <c r="Z879" t="str">
        <f t="shared" si="132"/>
        <v>OK</v>
      </c>
      <c r="AA879" t="str">
        <f t="shared" si="133"/>
        <v>OK</v>
      </c>
      <c r="AB879" t="str">
        <f t="shared" si="134"/>
        <v>Valid</v>
      </c>
      <c r="AC879" t="str">
        <f>IF(OR(AB879="Invalid Discount",V879="Invalid Shipping"),
"Invalid",
IF(OR(Y879="Missing Region",
Z879="Missing Ship Mode",
AA879="Missing Discount",
X879="Flagged for Review"),
"Warning",
"Clean"))</f>
        <v>Clean</v>
      </c>
      <c r="AD879">
        <f t="shared" si="135"/>
        <v>0.1</v>
      </c>
      <c r="AE879">
        <f>N879*O879*(1-AD879)</f>
        <v>3641.5439999999999</v>
      </c>
      <c r="AF879">
        <f>AE879-R879</f>
        <v>951.17399999999998</v>
      </c>
      <c r="AG879" s="3">
        <f t="shared" si="136"/>
        <v>0.26120074342092253</v>
      </c>
      <c r="AH879" t="str">
        <f t="shared" si="137"/>
        <v>August</v>
      </c>
      <c r="AI879">
        <f t="shared" si="138"/>
        <v>2025</v>
      </c>
    </row>
    <row r="880" spans="1:35">
      <c r="A880" t="s">
        <v>2712</v>
      </c>
      <c r="B880" s="2">
        <v>45313</v>
      </c>
      <c r="C880" s="2">
        <v>45313</v>
      </c>
      <c r="D880" t="s">
        <v>2713</v>
      </c>
      <c r="E880" t="s">
        <v>37</v>
      </c>
      <c r="F880" t="s">
        <v>104</v>
      </c>
      <c r="G880" t="s">
        <v>52</v>
      </c>
      <c r="H880" t="s">
        <v>113</v>
      </c>
      <c r="I880" t="s">
        <v>114</v>
      </c>
      <c r="J880" t="s">
        <v>42</v>
      </c>
      <c r="K880" t="s">
        <v>43</v>
      </c>
      <c r="L880" t="s">
        <v>2714</v>
      </c>
      <c r="M880" t="s">
        <v>64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46</v>
      </c>
      <c r="U880" t="s">
        <v>47</v>
      </c>
      <c r="V880" t="str">
        <f t="shared" si="129"/>
        <v>Valid</v>
      </c>
      <c r="W880">
        <f t="shared" si="130"/>
        <v>0</v>
      </c>
      <c r="Y880" t="str">
        <f t="shared" si="131"/>
        <v>OK</v>
      </c>
      <c r="Z880" t="str">
        <f t="shared" si="132"/>
        <v>OK</v>
      </c>
      <c r="AA880" t="str">
        <f t="shared" si="133"/>
        <v>OK</v>
      </c>
      <c r="AB880" t="str">
        <f t="shared" si="134"/>
        <v>Valid</v>
      </c>
      <c r="AC880" t="str">
        <f>IF(OR(AB880="Invalid Discount",V880="Invalid Shipping"),
"Invalid",
IF(OR(Y880="Missing Region",
Z880="Missing Ship Mode",
AA880="Missing Discount",
X880="Flagged for Review"),
"Warning",
"Clean"))</f>
        <v>Clean</v>
      </c>
      <c r="AD880">
        <f t="shared" si="135"/>
        <v>0.05</v>
      </c>
      <c r="AE880">
        <f>N880*O880*(1-AD880)</f>
        <v>11834.796</v>
      </c>
      <c r="AF880">
        <f>AE880-R880</f>
        <v>2512.4359999999997</v>
      </c>
      <c r="AG880" s="3">
        <f t="shared" si="136"/>
        <v>0.21229229468763125</v>
      </c>
      <c r="AH880" t="str">
        <f t="shared" si="137"/>
        <v>January</v>
      </c>
      <c r="AI880">
        <f t="shared" si="138"/>
        <v>2024</v>
      </c>
    </row>
    <row r="881" spans="1:35">
      <c r="A881" t="s">
        <v>2715</v>
      </c>
      <c r="B881" s="2">
        <v>45896</v>
      </c>
      <c r="C881" s="2">
        <v>45897</v>
      </c>
      <c r="D881" t="s">
        <v>2716</v>
      </c>
      <c r="E881" t="s">
        <v>76</v>
      </c>
      <c r="F881" t="s">
        <v>109</v>
      </c>
      <c r="G881" t="s">
        <v>39</v>
      </c>
      <c r="H881" t="s">
        <v>150</v>
      </c>
      <c r="I881" t="s">
        <v>151</v>
      </c>
      <c r="J881" t="s">
        <v>42</v>
      </c>
      <c r="K881" t="s">
        <v>62</v>
      </c>
      <c r="L881" t="s">
        <v>2717</v>
      </c>
      <c r="M881" t="s">
        <v>73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46</v>
      </c>
      <c r="U881" t="s">
        <v>47</v>
      </c>
      <c r="V881" t="str">
        <f t="shared" si="129"/>
        <v>Valid</v>
      </c>
      <c r="W881">
        <f t="shared" si="130"/>
        <v>1</v>
      </c>
      <c r="Y881" t="str">
        <f t="shared" si="131"/>
        <v>OK</v>
      </c>
      <c r="Z881" t="str">
        <f t="shared" si="132"/>
        <v>OK</v>
      </c>
      <c r="AA881" t="str">
        <f t="shared" si="133"/>
        <v>OK</v>
      </c>
      <c r="AB881" t="str">
        <f t="shared" si="134"/>
        <v>Valid</v>
      </c>
      <c r="AC881" t="str">
        <f>IF(OR(AB881="Invalid Discount",V881="Invalid Shipping"),
"Invalid",
IF(OR(Y881="Missing Region",
Z881="Missing Ship Mode",
AA881="Missing Discount",
X881="Flagged for Review"),
"Warning",
"Clean"))</f>
        <v>Clean</v>
      </c>
      <c r="AD881">
        <f t="shared" si="135"/>
        <v>0.15</v>
      </c>
      <c r="AE881">
        <f>N881*O881*(1-AD881)</f>
        <v>6028.3530000000001</v>
      </c>
      <c r="AF881">
        <f>AE881-R881</f>
        <v>1594.723</v>
      </c>
      <c r="AG881" s="3">
        <f t="shared" si="136"/>
        <v>0.26453709661660491</v>
      </c>
      <c r="AH881" t="str">
        <f t="shared" si="137"/>
        <v>August</v>
      </c>
      <c r="AI881">
        <f t="shared" si="138"/>
        <v>2025</v>
      </c>
    </row>
    <row r="882" spans="1:35">
      <c r="A882" t="s">
        <v>2718</v>
      </c>
      <c r="B882" s="2">
        <v>45359</v>
      </c>
      <c r="C882" s="2">
        <v>45366</v>
      </c>
      <c r="D882" t="s">
        <v>2719</v>
      </c>
      <c r="E882" t="s">
        <v>142</v>
      </c>
      <c r="F882" t="s">
        <v>51</v>
      </c>
      <c r="G882" t="s">
        <v>219</v>
      </c>
      <c r="H882" t="s">
        <v>136</v>
      </c>
      <c r="I882" t="s">
        <v>137</v>
      </c>
      <c r="J882" t="s">
        <v>55</v>
      </c>
      <c r="K882" t="s">
        <v>80</v>
      </c>
      <c r="L882" t="s">
        <v>2720</v>
      </c>
      <c r="M882" t="s">
        <v>64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46</v>
      </c>
      <c r="U882" t="s">
        <v>47</v>
      </c>
      <c r="V882" t="str">
        <f t="shared" si="129"/>
        <v>Valid</v>
      </c>
      <c r="W882">
        <f t="shared" si="130"/>
        <v>7</v>
      </c>
      <c r="Y882" t="str">
        <f t="shared" si="131"/>
        <v>Missing Region</v>
      </c>
      <c r="Z882" t="str">
        <f t="shared" si="132"/>
        <v>OK</v>
      </c>
      <c r="AA882" t="str">
        <f t="shared" si="133"/>
        <v>OK</v>
      </c>
      <c r="AB882" t="str">
        <f t="shared" si="134"/>
        <v>Valid</v>
      </c>
      <c r="AC882" t="str">
        <f>IF(OR(AB882="Invalid Discount",V882="Invalid Shipping"),
"Invalid",
IF(OR(Y882="Missing Region",
Z882="Missing Ship Mode",
AA882="Missing Discount",
X882="Flagged for Review"),
"Warning",
"Clean"))</f>
        <v>Warning</v>
      </c>
      <c r="AD882">
        <f t="shared" si="135"/>
        <v>0</v>
      </c>
      <c r="AE882">
        <f>N882*O882*(1-AD882)</f>
        <v>16173.85</v>
      </c>
      <c r="AF882">
        <f>AE882-R882</f>
        <v>2537.5100000000002</v>
      </c>
      <c r="AG882" s="3">
        <f t="shared" si="136"/>
        <v>0.15688967067210344</v>
      </c>
      <c r="AH882" t="str">
        <f t="shared" si="137"/>
        <v>March</v>
      </c>
      <c r="AI882">
        <f t="shared" si="138"/>
        <v>2024</v>
      </c>
    </row>
    <row r="883" spans="1:35">
      <c r="A883" t="s">
        <v>2721</v>
      </c>
      <c r="B883" s="2">
        <v>45627</v>
      </c>
      <c r="C883" s="2">
        <v>45631</v>
      </c>
      <c r="D883" t="s">
        <v>2722</v>
      </c>
      <c r="E883" t="s">
        <v>76</v>
      </c>
      <c r="F883" t="s">
        <v>51</v>
      </c>
      <c r="G883" t="s">
        <v>68</v>
      </c>
      <c r="H883" t="s">
        <v>98</v>
      </c>
      <c r="I883" t="s">
        <v>99</v>
      </c>
      <c r="J883" t="s">
        <v>88</v>
      </c>
      <c r="K883" t="s">
        <v>94</v>
      </c>
      <c r="L883" t="s">
        <v>2723</v>
      </c>
      <c r="M883" t="s">
        <v>45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46</v>
      </c>
      <c r="U883" t="s">
        <v>47</v>
      </c>
      <c r="V883" t="str">
        <f t="shared" si="129"/>
        <v>Valid</v>
      </c>
      <c r="W883">
        <f t="shared" si="130"/>
        <v>4</v>
      </c>
      <c r="Y883" t="str">
        <f t="shared" si="131"/>
        <v>OK</v>
      </c>
      <c r="Z883" t="str">
        <f t="shared" si="132"/>
        <v>OK</v>
      </c>
      <c r="AA883" t="str">
        <f t="shared" si="133"/>
        <v>OK</v>
      </c>
      <c r="AB883" t="str">
        <f t="shared" si="134"/>
        <v>Valid</v>
      </c>
      <c r="AC883" t="str">
        <f>IF(OR(AB883="Invalid Discount",V883="Invalid Shipping"),
"Invalid",
IF(OR(Y883="Missing Region",
Z883="Missing Ship Mode",
AA883="Missing Discount",
X883="Flagged for Review"),
"Warning",
"Clean"))</f>
        <v>Clean</v>
      </c>
      <c r="AD883">
        <f t="shared" si="135"/>
        <v>0.25</v>
      </c>
      <c r="AE883">
        <f>N883*O883*(1-AD883)</f>
        <v>25155.5625</v>
      </c>
      <c r="AF883">
        <f>AE883-R883</f>
        <v>7562.8725000000013</v>
      </c>
      <c r="AG883" s="3">
        <f t="shared" si="136"/>
        <v>0.30064414182747856</v>
      </c>
      <c r="AH883" t="str">
        <f t="shared" si="137"/>
        <v>December</v>
      </c>
      <c r="AI883">
        <f t="shared" si="138"/>
        <v>2024</v>
      </c>
    </row>
    <row r="884" spans="1:35">
      <c r="A884" t="s">
        <v>2724</v>
      </c>
      <c r="B884" s="2">
        <v>45690</v>
      </c>
      <c r="C884" s="2">
        <v>45698</v>
      </c>
      <c r="D884" t="s">
        <v>2725</v>
      </c>
      <c r="E884" t="s">
        <v>146</v>
      </c>
      <c r="F884" t="s">
        <v>104</v>
      </c>
      <c r="G884" t="s">
        <v>52</v>
      </c>
      <c r="H884" t="s">
        <v>159</v>
      </c>
      <c r="I884" t="s">
        <v>160</v>
      </c>
      <c r="J884" t="s">
        <v>88</v>
      </c>
      <c r="K884" t="s">
        <v>89</v>
      </c>
      <c r="L884" t="s">
        <v>2726</v>
      </c>
      <c r="M884" t="s">
        <v>73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125</v>
      </c>
      <c r="U884" t="s">
        <v>117</v>
      </c>
      <c r="V884" t="str">
        <f t="shared" si="129"/>
        <v>Valid</v>
      </c>
      <c r="W884">
        <f t="shared" si="130"/>
        <v>8</v>
      </c>
      <c r="Y884" t="str">
        <f t="shared" si="131"/>
        <v>OK</v>
      </c>
      <c r="Z884" t="str">
        <f t="shared" si="132"/>
        <v>OK</v>
      </c>
      <c r="AA884" t="str">
        <f t="shared" si="133"/>
        <v>OK</v>
      </c>
      <c r="AB884" t="str">
        <f t="shared" si="134"/>
        <v>Valid</v>
      </c>
      <c r="AC884" t="str">
        <f>IF(OR(AB884="Invalid Discount",V884="Invalid Shipping"),
"Invalid",
IF(OR(Y884="Missing Region",
Z884="Missing Ship Mode",
AA884="Missing Discount",
X884="Flagged for Review"),
"Warning",
"Clean"))</f>
        <v>Clean</v>
      </c>
      <c r="AD884">
        <f t="shared" si="135"/>
        <v>0</v>
      </c>
      <c r="AE884">
        <f>N884*O884*(1-AD884)</f>
        <v>7649.8</v>
      </c>
      <c r="AF884">
        <f>AE884-R884</f>
        <v>2755.2700000000004</v>
      </c>
      <c r="AG884" s="3">
        <f t="shared" si="136"/>
        <v>0.36017542942299152</v>
      </c>
      <c r="AH884" t="str">
        <f t="shared" si="137"/>
        <v>February</v>
      </c>
      <c r="AI884">
        <f t="shared" si="138"/>
        <v>2025</v>
      </c>
    </row>
    <row r="885" spans="1:35">
      <c r="A885" t="s">
        <v>2727</v>
      </c>
      <c r="B885" s="2">
        <v>45775</v>
      </c>
      <c r="C885" s="2">
        <v>45778</v>
      </c>
      <c r="D885" t="s">
        <v>2728</v>
      </c>
      <c r="E885" t="s">
        <v>142</v>
      </c>
      <c r="F885" t="s">
        <v>51</v>
      </c>
      <c r="G885" t="s">
        <v>77</v>
      </c>
      <c r="H885" t="s">
        <v>204</v>
      </c>
      <c r="I885" t="s">
        <v>205</v>
      </c>
      <c r="J885" t="s">
        <v>42</v>
      </c>
      <c r="K885" t="s">
        <v>138</v>
      </c>
      <c r="L885" t="s">
        <v>2729</v>
      </c>
      <c r="M885" t="s">
        <v>58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46</v>
      </c>
      <c r="U885" t="s">
        <v>47</v>
      </c>
      <c r="V885" t="str">
        <f t="shared" si="129"/>
        <v>Valid</v>
      </c>
      <c r="W885">
        <f t="shared" si="130"/>
        <v>3</v>
      </c>
      <c r="Y885" t="str">
        <f t="shared" si="131"/>
        <v>OK</v>
      </c>
      <c r="Z885" t="str">
        <f t="shared" si="132"/>
        <v>OK</v>
      </c>
      <c r="AA885" t="str">
        <f t="shared" si="133"/>
        <v>OK</v>
      </c>
      <c r="AB885" t="str">
        <f t="shared" si="134"/>
        <v>Valid</v>
      </c>
      <c r="AC885" t="str">
        <f>IF(OR(AB885="Invalid Discount",V885="Invalid Shipping"),
"Invalid",
IF(OR(Y885="Missing Region",
Z885="Missing Ship Mode",
AA885="Missing Discount",
X885="Flagged for Review"),
"Warning",
"Clean"))</f>
        <v>Clean</v>
      </c>
      <c r="AD885">
        <f t="shared" si="135"/>
        <v>0</v>
      </c>
      <c r="AE885">
        <f>N885*O885*(1-AD885)</f>
        <v>1620.87</v>
      </c>
      <c r="AF885">
        <f>AE885-R885</f>
        <v>517.26</v>
      </c>
      <c r="AG885" s="3">
        <f t="shared" si="136"/>
        <v>0.31912491439782342</v>
      </c>
      <c r="AH885" t="str">
        <f t="shared" si="137"/>
        <v>April</v>
      </c>
      <c r="AI885">
        <f t="shared" si="138"/>
        <v>2025</v>
      </c>
    </row>
    <row r="886" spans="1:35">
      <c r="A886" t="s">
        <v>2730</v>
      </c>
      <c r="B886" s="2">
        <v>45675</v>
      </c>
      <c r="C886" s="2">
        <v>45682</v>
      </c>
      <c r="D886" t="s">
        <v>2731</v>
      </c>
      <c r="E886" t="s">
        <v>93</v>
      </c>
      <c r="F886" t="s">
        <v>109</v>
      </c>
      <c r="G886" t="s">
        <v>68</v>
      </c>
      <c r="H886" t="s">
        <v>189</v>
      </c>
      <c r="I886" t="s">
        <v>190</v>
      </c>
      <c r="J886" t="s">
        <v>42</v>
      </c>
      <c r="K886" t="s">
        <v>138</v>
      </c>
      <c r="L886" t="s">
        <v>2732</v>
      </c>
      <c r="M886" t="s">
        <v>58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46</v>
      </c>
      <c r="U886" t="s">
        <v>47</v>
      </c>
      <c r="V886" t="str">
        <f t="shared" si="129"/>
        <v>Valid</v>
      </c>
      <c r="W886">
        <f t="shared" si="130"/>
        <v>7</v>
      </c>
      <c r="Y886" t="str">
        <f t="shared" si="131"/>
        <v>OK</v>
      </c>
      <c r="Z886" t="str">
        <f t="shared" si="132"/>
        <v>OK</v>
      </c>
      <c r="AA886" t="str">
        <f t="shared" si="133"/>
        <v>OK</v>
      </c>
      <c r="AB886" t="str">
        <f t="shared" si="134"/>
        <v>Valid</v>
      </c>
      <c r="AC886" t="str">
        <f>IF(OR(AB886="Invalid Discount",V886="Invalid Shipping"),
"Invalid",
IF(OR(Y886="Missing Region",
Z886="Missing Ship Mode",
AA886="Missing Discount",
X886="Flagged for Review"),
"Warning",
"Clean"))</f>
        <v>Clean</v>
      </c>
      <c r="AD886">
        <f t="shared" si="135"/>
        <v>0.15</v>
      </c>
      <c r="AE886">
        <f>N886*O886*(1-AD886)</f>
        <v>3567.518</v>
      </c>
      <c r="AF886">
        <f>AE886-R886</f>
        <v>1155.7179999999998</v>
      </c>
      <c r="AG886" s="3">
        <f t="shared" si="136"/>
        <v>0.32395575859743381</v>
      </c>
      <c r="AH886" t="str">
        <f t="shared" si="137"/>
        <v>January</v>
      </c>
      <c r="AI886">
        <f t="shared" si="138"/>
        <v>2025</v>
      </c>
    </row>
    <row r="887" spans="1:35">
      <c r="A887" t="s">
        <v>2733</v>
      </c>
      <c r="B887" s="2">
        <v>45296</v>
      </c>
      <c r="C887" s="2">
        <v>45296</v>
      </c>
      <c r="D887" t="s">
        <v>2734</v>
      </c>
      <c r="E887" t="s">
        <v>176</v>
      </c>
      <c r="F887" t="s">
        <v>38</v>
      </c>
      <c r="G887" t="s">
        <v>39</v>
      </c>
      <c r="H887" t="s">
        <v>40</v>
      </c>
      <c r="I887" t="s">
        <v>41</v>
      </c>
      <c r="J887" t="s">
        <v>55</v>
      </c>
      <c r="K887" t="s">
        <v>56</v>
      </c>
      <c r="L887" t="s">
        <v>2735</v>
      </c>
      <c r="M887" t="s">
        <v>73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46</v>
      </c>
      <c r="U887" t="s">
        <v>47</v>
      </c>
      <c r="V887" t="str">
        <f t="shared" si="129"/>
        <v>Valid</v>
      </c>
      <c r="W887">
        <f t="shared" si="130"/>
        <v>0</v>
      </c>
      <c r="Y887" t="str">
        <f t="shared" si="131"/>
        <v>OK</v>
      </c>
      <c r="Z887" t="str">
        <f t="shared" si="132"/>
        <v>OK</v>
      </c>
      <c r="AA887" t="str">
        <f t="shared" si="133"/>
        <v>OK</v>
      </c>
      <c r="AB887" t="str">
        <f t="shared" si="134"/>
        <v>Valid</v>
      </c>
      <c r="AC887" t="str">
        <f>IF(OR(AB887="Invalid Discount",V887="Invalid Shipping"),
"Invalid",
IF(OR(Y887="Missing Region",
Z887="Missing Ship Mode",
AA887="Missing Discount",
X887="Flagged for Review"),
"Warning",
"Clean"))</f>
        <v>Clean</v>
      </c>
      <c r="AD887">
        <f t="shared" si="135"/>
        <v>0.25</v>
      </c>
      <c r="AE887">
        <f>N887*O887*(1-AD887)</f>
        <v>1625.31</v>
      </c>
      <c r="AF887">
        <f>AE887-R887</f>
        <v>467.41999999999985</v>
      </c>
      <c r="AG887" s="3">
        <f t="shared" si="136"/>
        <v>0.28758821394072509</v>
      </c>
      <c r="AH887" t="str">
        <f t="shared" si="137"/>
        <v>January</v>
      </c>
      <c r="AI887">
        <f t="shared" si="138"/>
        <v>2024</v>
      </c>
    </row>
    <row r="888" spans="1:35">
      <c r="A888" t="s">
        <v>2736</v>
      </c>
      <c r="B888" s="2">
        <v>45773</v>
      </c>
      <c r="C888" s="2">
        <v>45780</v>
      </c>
      <c r="D888" t="s">
        <v>2737</v>
      </c>
      <c r="E888" t="s">
        <v>67</v>
      </c>
      <c r="F888" t="s">
        <v>109</v>
      </c>
      <c r="G888" t="s">
        <v>68</v>
      </c>
      <c r="H888" t="s">
        <v>262</v>
      </c>
      <c r="I888" t="s">
        <v>263</v>
      </c>
      <c r="J888" t="s">
        <v>88</v>
      </c>
      <c r="K888" t="s">
        <v>89</v>
      </c>
      <c r="L888" t="s">
        <v>2738</v>
      </c>
      <c r="M888" t="s">
        <v>64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46</v>
      </c>
      <c r="U888" t="s">
        <v>82</v>
      </c>
      <c r="V888" t="str">
        <f t="shared" si="129"/>
        <v>Valid</v>
      </c>
      <c r="W888">
        <f t="shared" si="130"/>
        <v>7</v>
      </c>
      <c r="Y888" t="str">
        <f t="shared" si="131"/>
        <v>OK</v>
      </c>
      <c r="Z888" t="str">
        <f t="shared" si="132"/>
        <v>OK</v>
      </c>
      <c r="AA888" t="str">
        <f t="shared" si="133"/>
        <v>OK</v>
      </c>
      <c r="AB888" t="str">
        <f t="shared" si="134"/>
        <v>Valid</v>
      </c>
      <c r="AC888" t="str">
        <f>IF(OR(AB888="Invalid Discount",V888="Invalid Shipping"),
"Invalid",
IF(OR(Y888="Missing Region",
Z888="Missing Ship Mode",
AA888="Missing Discount",
X888="Flagged for Review"),
"Warning",
"Clean"))</f>
        <v>Clean</v>
      </c>
      <c r="AD888">
        <f t="shared" si="135"/>
        <v>0.15</v>
      </c>
      <c r="AE888">
        <f>N888*O888*(1-AD888)</f>
        <v>23739.904999999999</v>
      </c>
      <c r="AF888">
        <f>AE888-R888</f>
        <v>6023.3849999999984</v>
      </c>
      <c r="AG888" s="3">
        <f t="shared" si="136"/>
        <v>0.25372405660427028</v>
      </c>
      <c r="AH888" t="str">
        <f t="shared" si="137"/>
        <v>April</v>
      </c>
      <c r="AI888">
        <f t="shared" si="138"/>
        <v>2025</v>
      </c>
    </row>
    <row r="889" spans="1:35">
      <c r="A889" t="s">
        <v>2739</v>
      </c>
      <c r="B889" s="2">
        <v>45455</v>
      </c>
      <c r="C889" s="2">
        <v>45461</v>
      </c>
      <c r="D889" t="s">
        <v>2740</v>
      </c>
      <c r="E889" t="s">
        <v>142</v>
      </c>
      <c r="F889" t="s">
        <v>51</v>
      </c>
      <c r="G889" t="s">
        <v>68</v>
      </c>
      <c r="H889" t="s">
        <v>98</v>
      </c>
      <c r="I889" t="s">
        <v>99</v>
      </c>
      <c r="J889" t="s">
        <v>42</v>
      </c>
      <c r="K889" t="s">
        <v>62</v>
      </c>
      <c r="L889" t="s">
        <v>2741</v>
      </c>
      <c r="M889" t="s">
        <v>73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46</v>
      </c>
      <c r="U889" t="s">
        <v>47</v>
      </c>
      <c r="V889" t="str">
        <f t="shared" si="129"/>
        <v>Valid</v>
      </c>
      <c r="W889">
        <f t="shared" si="130"/>
        <v>6</v>
      </c>
      <c r="Y889" t="str">
        <f t="shared" si="131"/>
        <v>OK</v>
      </c>
      <c r="Z889" t="str">
        <f t="shared" si="132"/>
        <v>OK</v>
      </c>
      <c r="AA889" t="str">
        <f t="shared" si="133"/>
        <v>OK</v>
      </c>
      <c r="AB889" t="str">
        <f t="shared" si="134"/>
        <v>Valid</v>
      </c>
      <c r="AC889" t="str">
        <f>IF(OR(AB889="Invalid Discount",V889="Invalid Shipping"),
"Invalid",
IF(OR(Y889="Missing Region",
Z889="Missing Ship Mode",
AA889="Missing Discount",
X889="Flagged for Review"),
"Warning",
"Clean"))</f>
        <v>Clean</v>
      </c>
      <c r="AD889">
        <f t="shared" si="135"/>
        <v>0</v>
      </c>
      <c r="AE889">
        <f>N889*O889*(1-AD889)</f>
        <v>16704.52</v>
      </c>
      <c r="AF889">
        <f>AE889-R889</f>
        <v>6546.24</v>
      </c>
      <c r="AG889" s="3">
        <f t="shared" si="136"/>
        <v>0.39188435225914897</v>
      </c>
      <c r="AH889" t="str">
        <f t="shared" si="137"/>
        <v>June</v>
      </c>
      <c r="AI889">
        <f t="shared" si="138"/>
        <v>2024</v>
      </c>
    </row>
    <row r="890" spans="1:35">
      <c r="A890" t="s">
        <v>2742</v>
      </c>
      <c r="B890" s="2">
        <v>45875</v>
      </c>
      <c r="C890" s="2">
        <v>45876</v>
      </c>
      <c r="D890" t="s">
        <v>2743</v>
      </c>
      <c r="E890" t="s">
        <v>132</v>
      </c>
      <c r="F890" t="s">
        <v>51</v>
      </c>
      <c r="G890" t="s">
        <v>77</v>
      </c>
      <c r="H890" t="s">
        <v>78</v>
      </c>
      <c r="I890" t="s">
        <v>79</v>
      </c>
      <c r="J890" t="s">
        <v>42</v>
      </c>
      <c r="K890" t="s">
        <v>62</v>
      </c>
      <c r="L890" t="s">
        <v>2744</v>
      </c>
      <c r="M890" t="s">
        <v>73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116</v>
      </c>
      <c r="U890" t="s">
        <v>82</v>
      </c>
      <c r="V890" t="str">
        <f t="shared" si="129"/>
        <v>Valid</v>
      </c>
      <c r="W890">
        <f t="shared" si="130"/>
        <v>1</v>
      </c>
      <c r="Y890" t="str">
        <f t="shared" si="131"/>
        <v>OK</v>
      </c>
      <c r="Z890" t="str">
        <f t="shared" si="132"/>
        <v>OK</v>
      </c>
      <c r="AA890" t="str">
        <f t="shared" si="133"/>
        <v>OK</v>
      </c>
      <c r="AB890" t="str">
        <f t="shared" si="134"/>
        <v>Valid</v>
      </c>
      <c r="AC890" t="str">
        <f>IF(OR(AB890="Invalid Discount",V890="Invalid Shipping"),
"Invalid",
IF(OR(Y890="Missing Region",
Z890="Missing Ship Mode",
AA890="Missing Discount",
X890="Flagged for Review"),
"Warning",
"Clean"))</f>
        <v>Clean</v>
      </c>
      <c r="AD890">
        <f t="shared" si="135"/>
        <v>0.1</v>
      </c>
      <c r="AE890">
        <f>N890*O890*(1-AD890)</f>
        <v>12685.103999999999</v>
      </c>
      <c r="AF890">
        <f>AE890-R890</f>
        <v>1905.5439999999999</v>
      </c>
      <c r="AG890" s="3">
        <f t="shared" si="136"/>
        <v>0.15021902855506741</v>
      </c>
      <c r="AH890" t="str">
        <f t="shared" si="137"/>
        <v>August</v>
      </c>
      <c r="AI890">
        <f t="shared" si="138"/>
        <v>2025</v>
      </c>
    </row>
    <row r="891" spans="1:35">
      <c r="A891" t="s">
        <v>2745</v>
      </c>
      <c r="B891" s="2">
        <v>45726</v>
      </c>
      <c r="C891" s="2">
        <v>45727</v>
      </c>
      <c r="D891" t="s">
        <v>897</v>
      </c>
      <c r="E891" t="s">
        <v>103</v>
      </c>
      <c r="F891" t="s">
        <v>109</v>
      </c>
      <c r="G891" t="s">
        <v>77</v>
      </c>
      <c r="H891" t="s">
        <v>86</v>
      </c>
      <c r="I891" t="s">
        <v>87</v>
      </c>
      <c r="J891" t="s">
        <v>42</v>
      </c>
      <c r="K891" t="s">
        <v>138</v>
      </c>
      <c r="L891" t="s">
        <v>2746</v>
      </c>
      <c r="M891" t="s">
        <v>64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46</v>
      </c>
      <c r="U891" t="s">
        <v>117</v>
      </c>
      <c r="V891" t="str">
        <f t="shared" si="129"/>
        <v>Valid</v>
      </c>
      <c r="W891">
        <f t="shared" si="130"/>
        <v>1</v>
      </c>
      <c r="Y891" t="str">
        <f t="shared" si="131"/>
        <v>OK</v>
      </c>
      <c r="Z891" t="str">
        <f t="shared" si="132"/>
        <v>OK</v>
      </c>
      <c r="AA891" t="str">
        <f t="shared" si="133"/>
        <v>OK</v>
      </c>
      <c r="AB891" t="str">
        <f t="shared" si="134"/>
        <v>Valid</v>
      </c>
      <c r="AC891" t="str">
        <f>IF(OR(AB891="Invalid Discount",V891="Invalid Shipping"),
"Invalid",
IF(OR(Y891="Missing Region",
Z891="Missing Ship Mode",
AA891="Missing Discount",
X891="Flagged for Review"),
"Warning",
"Clean"))</f>
        <v>Clean</v>
      </c>
      <c r="AD891">
        <f t="shared" si="135"/>
        <v>0.25</v>
      </c>
      <c r="AE891">
        <f>N891*O891*(1-AD891)</f>
        <v>5883.12</v>
      </c>
      <c r="AF891">
        <f>AE891-R891</f>
        <v>1235.21</v>
      </c>
      <c r="AG891" s="3">
        <f t="shared" si="136"/>
        <v>0.20995832143488491</v>
      </c>
      <c r="AH891" t="str">
        <f t="shared" si="137"/>
        <v>March</v>
      </c>
      <c r="AI891">
        <f t="shared" si="138"/>
        <v>2025</v>
      </c>
    </row>
    <row r="892" spans="1:35">
      <c r="A892" t="s">
        <v>2747</v>
      </c>
      <c r="B892" s="2">
        <v>45427</v>
      </c>
      <c r="C892" s="2">
        <v>45433</v>
      </c>
      <c r="D892" t="s">
        <v>2748</v>
      </c>
      <c r="E892" t="s">
        <v>37</v>
      </c>
      <c r="F892" t="s">
        <v>38</v>
      </c>
      <c r="G892" t="s">
        <v>77</v>
      </c>
      <c r="H892" t="s">
        <v>204</v>
      </c>
      <c r="I892" t="s">
        <v>205</v>
      </c>
      <c r="J892" t="s">
        <v>42</v>
      </c>
      <c r="K892" t="s">
        <v>138</v>
      </c>
      <c r="L892" t="s">
        <v>2749</v>
      </c>
      <c r="M892" t="s">
        <v>73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46</v>
      </c>
      <c r="U892" t="s">
        <v>47</v>
      </c>
      <c r="V892" t="str">
        <f t="shared" si="129"/>
        <v>Valid</v>
      </c>
      <c r="W892">
        <f t="shared" si="130"/>
        <v>6</v>
      </c>
      <c r="Y892" t="str">
        <f t="shared" si="131"/>
        <v>OK</v>
      </c>
      <c r="Z892" t="str">
        <f t="shared" si="132"/>
        <v>OK</v>
      </c>
      <c r="AA892" t="str">
        <f t="shared" si="133"/>
        <v>OK</v>
      </c>
      <c r="AB892" t="str">
        <f t="shared" si="134"/>
        <v>Valid</v>
      </c>
      <c r="AC892" t="str">
        <f>IF(OR(AB892="Invalid Discount",V892="Invalid Shipping"),
"Invalid",
IF(OR(Y892="Missing Region",
Z892="Missing Ship Mode",
AA892="Missing Discount",
X892="Flagged for Review"),
"Warning",
"Clean"))</f>
        <v>Clean</v>
      </c>
      <c r="AD892">
        <f t="shared" si="135"/>
        <v>0.2</v>
      </c>
      <c r="AE892">
        <f>N892*O892*(1-AD892)</f>
        <v>13965.888000000001</v>
      </c>
      <c r="AF892">
        <f>AE892-R892</f>
        <v>2319.768</v>
      </c>
      <c r="AG892" s="3">
        <f t="shared" si="136"/>
        <v>0.16610243473239938</v>
      </c>
      <c r="AH892" t="str">
        <f t="shared" si="137"/>
        <v>May</v>
      </c>
      <c r="AI892">
        <f t="shared" si="138"/>
        <v>2024</v>
      </c>
    </row>
    <row r="893" spans="1:35">
      <c r="A893" t="s">
        <v>2750</v>
      </c>
      <c r="B893" s="2">
        <v>45573</v>
      </c>
      <c r="C893" s="2">
        <v>45574</v>
      </c>
      <c r="D893" t="s">
        <v>2751</v>
      </c>
      <c r="E893" t="s">
        <v>279</v>
      </c>
      <c r="F893" t="s">
        <v>104</v>
      </c>
      <c r="G893" t="s">
        <v>68</v>
      </c>
      <c r="H893" t="s">
        <v>262</v>
      </c>
      <c r="I893" t="s">
        <v>263</v>
      </c>
      <c r="J893" t="s">
        <v>88</v>
      </c>
      <c r="K893" t="s">
        <v>289</v>
      </c>
      <c r="L893" t="s">
        <v>2752</v>
      </c>
      <c r="M893" t="s">
        <v>58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169</v>
      </c>
      <c r="U893" t="s">
        <v>82</v>
      </c>
      <c r="V893" t="str">
        <f t="shared" si="129"/>
        <v>Valid</v>
      </c>
      <c r="W893">
        <f t="shared" si="130"/>
        <v>1</v>
      </c>
      <c r="Y893" t="str">
        <f t="shared" si="131"/>
        <v>OK</v>
      </c>
      <c r="Z893" t="str">
        <f t="shared" si="132"/>
        <v>OK</v>
      </c>
      <c r="AA893" t="str">
        <f t="shared" si="133"/>
        <v>OK</v>
      </c>
      <c r="AB893" t="str">
        <f t="shared" si="134"/>
        <v>Valid</v>
      </c>
      <c r="AC893" t="str">
        <f>IF(OR(AB893="Invalid Discount",V893="Invalid Shipping"),
"Invalid",
IF(OR(Y893="Missing Region",
Z893="Missing Ship Mode",
AA893="Missing Discount",
X893="Flagged for Review"),
"Warning",
"Clean"))</f>
        <v>Clean</v>
      </c>
      <c r="AD893">
        <f t="shared" si="135"/>
        <v>0.1</v>
      </c>
      <c r="AE893">
        <f>N893*O893*(1-AD893)</f>
        <v>10835.865</v>
      </c>
      <c r="AF893">
        <f>AE893-R893</f>
        <v>4415.9449999999997</v>
      </c>
      <c r="AG893" s="3">
        <f t="shared" si="136"/>
        <v>0.40753045557507406</v>
      </c>
      <c r="AH893" t="str">
        <f t="shared" si="137"/>
        <v>October</v>
      </c>
      <c r="AI893">
        <f t="shared" si="138"/>
        <v>2024</v>
      </c>
    </row>
    <row r="894" spans="1:35">
      <c r="A894" t="s">
        <v>2753</v>
      </c>
      <c r="B894" s="2">
        <v>45759</v>
      </c>
      <c r="C894" s="2">
        <v>45765</v>
      </c>
      <c r="D894" t="s">
        <v>2754</v>
      </c>
      <c r="E894" t="s">
        <v>61</v>
      </c>
      <c r="F894" t="s">
        <v>51</v>
      </c>
      <c r="G894" t="s">
        <v>52</v>
      </c>
      <c r="H894" t="s">
        <v>243</v>
      </c>
      <c r="I894" t="s">
        <v>244</v>
      </c>
      <c r="J894" t="s">
        <v>88</v>
      </c>
      <c r="K894" t="s">
        <v>94</v>
      </c>
      <c r="L894" t="s">
        <v>2755</v>
      </c>
      <c r="M894" t="s">
        <v>58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46</v>
      </c>
      <c r="U894" t="s">
        <v>47</v>
      </c>
      <c r="V894" t="str">
        <f t="shared" si="129"/>
        <v>Valid</v>
      </c>
      <c r="W894">
        <f t="shared" si="130"/>
        <v>6</v>
      </c>
      <c r="Y894" t="str">
        <f t="shared" si="131"/>
        <v>OK</v>
      </c>
      <c r="Z894" t="str">
        <f t="shared" si="132"/>
        <v>OK</v>
      </c>
      <c r="AA894" t="str">
        <f t="shared" si="133"/>
        <v>OK</v>
      </c>
      <c r="AB894" t="str">
        <f t="shared" si="134"/>
        <v>Valid</v>
      </c>
      <c r="AC894" t="str">
        <f>IF(OR(AB894="Invalid Discount",V894="Invalid Shipping"),
"Invalid",
IF(OR(Y894="Missing Region",
Z894="Missing Ship Mode",
AA894="Missing Discount",
X894="Flagged for Review"),
"Warning",
"Clean"))</f>
        <v>Clean</v>
      </c>
      <c r="AD894">
        <f t="shared" si="135"/>
        <v>0.2</v>
      </c>
      <c r="AE894">
        <f>N894*O894*(1-AD894)</f>
        <v>581.51200000000006</v>
      </c>
      <c r="AF894">
        <f>AE894-R894</f>
        <v>157.65200000000004</v>
      </c>
      <c r="AG894" s="3">
        <f t="shared" si="136"/>
        <v>0.27110704508247468</v>
      </c>
      <c r="AH894" t="str">
        <f t="shared" si="137"/>
        <v>April</v>
      </c>
      <c r="AI894">
        <f t="shared" si="138"/>
        <v>2025</v>
      </c>
    </row>
    <row r="895" spans="1:35">
      <c r="A895" t="s">
        <v>2756</v>
      </c>
      <c r="B895" s="2">
        <v>45449</v>
      </c>
      <c r="C895" s="2">
        <v>45451</v>
      </c>
      <c r="D895" t="s">
        <v>2757</v>
      </c>
      <c r="E895" t="s">
        <v>142</v>
      </c>
      <c r="F895" t="s">
        <v>104</v>
      </c>
      <c r="G895" t="s">
        <v>68</v>
      </c>
      <c r="H895" t="s">
        <v>189</v>
      </c>
      <c r="I895" t="s">
        <v>190</v>
      </c>
      <c r="J895" t="s">
        <v>55</v>
      </c>
      <c r="K895" t="s">
        <v>56</v>
      </c>
      <c r="L895" t="s">
        <v>2758</v>
      </c>
      <c r="M895" t="s">
        <v>45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46</v>
      </c>
      <c r="U895" t="s">
        <v>117</v>
      </c>
      <c r="V895" t="str">
        <f t="shared" si="129"/>
        <v>Valid</v>
      </c>
      <c r="W895">
        <f t="shared" si="130"/>
        <v>2</v>
      </c>
      <c r="Y895" t="str">
        <f t="shared" si="131"/>
        <v>OK</v>
      </c>
      <c r="Z895" t="str">
        <f t="shared" si="132"/>
        <v>OK</v>
      </c>
      <c r="AA895" t="str">
        <f t="shared" si="133"/>
        <v>OK</v>
      </c>
      <c r="AB895" t="str">
        <f t="shared" si="134"/>
        <v>Valid</v>
      </c>
      <c r="AC895" t="str">
        <f>IF(OR(AB895="Invalid Discount",V895="Invalid Shipping"),
"Invalid",
IF(OR(Y895="Missing Region",
Z895="Missing Ship Mode",
AA895="Missing Discount",
X895="Flagged for Review"),
"Warning",
"Clean"))</f>
        <v>Clean</v>
      </c>
      <c r="AD895">
        <f t="shared" si="135"/>
        <v>0.05</v>
      </c>
      <c r="AE895">
        <f>N895*O895*(1-AD895)</f>
        <v>1127.1465000000001</v>
      </c>
      <c r="AF895">
        <f>AE895-R895</f>
        <v>281.52650000000006</v>
      </c>
      <c r="AG895" s="3">
        <f t="shared" si="136"/>
        <v>0.24976921810962466</v>
      </c>
      <c r="AH895" t="str">
        <f t="shared" si="137"/>
        <v>June</v>
      </c>
      <c r="AI895">
        <f t="shared" si="138"/>
        <v>2024</v>
      </c>
    </row>
    <row r="896" spans="1:35">
      <c r="A896" t="s">
        <v>2759</v>
      </c>
      <c r="B896" s="2">
        <v>45344</v>
      </c>
      <c r="C896" s="2">
        <v>45351</v>
      </c>
      <c r="D896" t="s">
        <v>2760</v>
      </c>
      <c r="E896" t="s">
        <v>61</v>
      </c>
      <c r="F896" t="s">
        <v>109</v>
      </c>
      <c r="G896" t="s">
        <v>68</v>
      </c>
      <c r="H896" t="s">
        <v>69</v>
      </c>
      <c r="I896" t="s">
        <v>70</v>
      </c>
      <c r="J896" t="s">
        <v>55</v>
      </c>
      <c r="K896" t="s">
        <v>56</v>
      </c>
      <c r="L896" t="s">
        <v>2761</v>
      </c>
      <c r="M896" t="s">
        <v>64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46</v>
      </c>
      <c r="U896" t="s">
        <v>47</v>
      </c>
      <c r="V896" t="str">
        <f t="shared" si="129"/>
        <v>Valid</v>
      </c>
      <c r="W896">
        <f t="shared" si="130"/>
        <v>7</v>
      </c>
      <c r="Y896" t="str">
        <f t="shared" si="131"/>
        <v>OK</v>
      </c>
      <c r="Z896" t="str">
        <f t="shared" si="132"/>
        <v>OK</v>
      </c>
      <c r="AA896" t="str">
        <f t="shared" si="133"/>
        <v>OK</v>
      </c>
      <c r="AB896" t="str">
        <f t="shared" si="134"/>
        <v>Valid</v>
      </c>
      <c r="AC896" t="str">
        <f>IF(OR(AB896="Invalid Discount",V896="Invalid Shipping"),
"Invalid",
IF(OR(Y896="Missing Region",
Z896="Missing Ship Mode",
AA896="Missing Discount",
X896="Flagged for Review"),
"Warning",
"Clean"))</f>
        <v>Clean</v>
      </c>
      <c r="AD896">
        <f t="shared" si="135"/>
        <v>0</v>
      </c>
      <c r="AE896">
        <f>N896*O896*(1-AD896)</f>
        <v>25524.300000000003</v>
      </c>
      <c r="AF896">
        <f>AE896-R896</f>
        <v>8812.3700000000026</v>
      </c>
      <c r="AG896" s="3">
        <f t="shared" si="136"/>
        <v>0.34525413037771857</v>
      </c>
      <c r="AH896" t="str">
        <f t="shared" si="137"/>
        <v>February</v>
      </c>
      <c r="AI896">
        <f t="shared" si="138"/>
        <v>2024</v>
      </c>
    </row>
    <row r="897" spans="1:35">
      <c r="A897" t="s">
        <v>2762</v>
      </c>
      <c r="B897" s="2">
        <v>45601</v>
      </c>
      <c r="C897" s="2">
        <v>45606</v>
      </c>
      <c r="D897" t="s">
        <v>2763</v>
      </c>
      <c r="E897" t="s">
        <v>67</v>
      </c>
      <c r="F897" t="s">
        <v>38</v>
      </c>
      <c r="G897" t="s">
        <v>68</v>
      </c>
      <c r="H897" t="s">
        <v>199</v>
      </c>
      <c r="I897" t="s">
        <v>200</v>
      </c>
      <c r="J897" t="s">
        <v>55</v>
      </c>
      <c r="K897" t="s">
        <v>80</v>
      </c>
      <c r="L897" t="s">
        <v>2764</v>
      </c>
      <c r="M897" t="s">
        <v>58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125</v>
      </c>
      <c r="U897" t="s">
        <v>117</v>
      </c>
      <c r="V897" t="str">
        <f t="shared" si="129"/>
        <v>Valid</v>
      </c>
      <c r="W897">
        <f t="shared" si="130"/>
        <v>5</v>
      </c>
      <c r="Y897" t="str">
        <f t="shared" si="131"/>
        <v>OK</v>
      </c>
      <c r="Z897" t="str">
        <f t="shared" si="132"/>
        <v>OK</v>
      </c>
      <c r="AA897" t="str">
        <f t="shared" si="133"/>
        <v>OK</v>
      </c>
      <c r="AB897" t="str">
        <f t="shared" si="134"/>
        <v>Valid</v>
      </c>
      <c r="AC897" t="str">
        <f>IF(OR(AB897="Invalid Discount",V897="Invalid Shipping"),
"Invalid",
IF(OR(Y897="Missing Region",
Z897="Missing Ship Mode",
AA897="Missing Discount",
X897="Flagged for Review"),
"Warning",
"Clean"))</f>
        <v>Clean</v>
      </c>
      <c r="AD897">
        <f t="shared" si="135"/>
        <v>0.15</v>
      </c>
      <c r="AE897">
        <f>N897*O897*(1-AD897)</f>
        <v>2418.0119999999997</v>
      </c>
      <c r="AF897">
        <f>AE897-R897</f>
        <v>976.12199999999962</v>
      </c>
      <c r="AG897" s="3">
        <f t="shared" si="136"/>
        <v>0.40368782288921634</v>
      </c>
      <c r="AH897" t="str">
        <f t="shared" si="137"/>
        <v>November</v>
      </c>
      <c r="AI897">
        <f t="shared" si="138"/>
        <v>2024</v>
      </c>
    </row>
    <row r="898" spans="1:35">
      <c r="A898" t="s">
        <v>2765</v>
      </c>
      <c r="B898" s="2">
        <v>45650</v>
      </c>
      <c r="C898" s="2">
        <v>45651</v>
      </c>
      <c r="D898" t="s">
        <v>2766</v>
      </c>
      <c r="E898" t="s">
        <v>76</v>
      </c>
      <c r="F898" t="s">
        <v>51</v>
      </c>
      <c r="G898" t="s">
        <v>68</v>
      </c>
      <c r="H898" t="s">
        <v>262</v>
      </c>
      <c r="I898" t="s">
        <v>263</v>
      </c>
      <c r="J898" t="s">
        <v>88</v>
      </c>
      <c r="K898" t="s">
        <v>94</v>
      </c>
      <c r="L898" t="s">
        <v>2767</v>
      </c>
      <c r="M898" t="s">
        <v>45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169</v>
      </c>
      <c r="U898" t="s">
        <v>117</v>
      </c>
      <c r="V898" t="str">
        <f t="shared" si="129"/>
        <v>Valid</v>
      </c>
      <c r="W898">
        <f t="shared" si="130"/>
        <v>1</v>
      </c>
      <c r="Y898" t="str">
        <f t="shared" si="131"/>
        <v>OK</v>
      </c>
      <c r="Z898" t="str">
        <f t="shared" si="132"/>
        <v>OK</v>
      </c>
      <c r="AA898" t="str">
        <f t="shared" si="133"/>
        <v>OK</v>
      </c>
      <c r="AB898" t="str">
        <f t="shared" si="134"/>
        <v>Valid</v>
      </c>
      <c r="AC898" t="str">
        <f>IF(OR(AB898="Invalid Discount",V898="Invalid Shipping"),
"Invalid",
IF(OR(Y898="Missing Region",
Z898="Missing Ship Mode",
AA898="Missing Discount",
X898="Flagged for Review"),
"Warning",
"Clean"))</f>
        <v>Clean</v>
      </c>
      <c r="AD898">
        <f t="shared" si="135"/>
        <v>0.05</v>
      </c>
      <c r="AE898">
        <f>N898*O898*(1-AD898)</f>
        <v>3508.3784999999998</v>
      </c>
      <c r="AF898">
        <f>AE898-R898</f>
        <v>680.31849999999986</v>
      </c>
      <c r="AG898" s="3">
        <f t="shared" si="136"/>
        <v>0.19391251542557336</v>
      </c>
      <c r="AH898" t="str">
        <f t="shared" si="137"/>
        <v>December</v>
      </c>
      <c r="AI898">
        <f t="shared" si="138"/>
        <v>2024</v>
      </c>
    </row>
    <row r="899" spans="1:35">
      <c r="A899" t="s">
        <v>2768</v>
      </c>
      <c r="B899" s="2">
        <v>45776</v>
      </c>
      <c r="C899" s="2">
        <v>45780</v>
      </c>
      <c r="D899" t="s">
        <v>2135</v>
      </c>
      <c r="E899" t="s">
        <v>155</v>
      </c>
      <c r="F899" t="s">
        <v>104</v>
      </c>
      <c r="G899" t="s">
        <v>39</v>
      </c>
      <c r="H899" t="s">
        <v>251</v>
      </c>
      <c r="I899" t="s">
        <v>252</v>
      </c>
      <c r="J899" t="s">
        <v>42</v>
      </c>
      <c r="K899" t="s">
        <v>43</v>
      </c>
      <c r="L899" t="s">
        <v>2769</v>
      </c>
      <c r="M899" t="s">
        <v>64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46</v>
      </c>
      <c r="U899" t="s">
        <v>47</v>
      </c>
      <c r="V899" t="str">
        <f t="shared" ref="V899:V933" si="139">IF(C899&lt;B899,"Invalid Shipping","Valid")</f>
        <v>Valid</v>
      </c>
      <c r="W899">
        <f t="shared" ref="W899:W933" si="140">C899-B899</f>
        <v>4</v>
      </c>
      <c r="Y899" t="str">
        <f t="shared" ref="Y899:Y913" si="141">IF(G899="Unknown","Missing Region","OK")</f>
        <v>OK</v>
      </c>
      <c r="Z899" t="str">
        <f t="shared" ref="Z899:Z913" si="142">IF(M899="Unknown","Missing Ship Mode","OK")</f>
        <v>OK</v>
      </c>
      <c r="AA899" t="str">
        <f>IF(P899="","Missing Discount","OK")</f>
        <v>OK</v>
      </c>
      <c r="AB899" t="str">
        <f t="shared" ref="AB899:AB913" si="143">IF(OR(P899&lt;0,P899&gt;1),"Invalid Discount","Valid")</f>
        <v>Valid</v>
      </c>
      <c r="AC899" t="str">
        <f>IF(OR(AB899="Invalid Discount",V899="Invalid Shipping"),
"Invalid",
IF(OR(Y899="Missing Region",
Z899="Missing Ship Mode",
AA899="Missing Discount",
X899="Flagged for Review"),
"Warning",
"Clean"))</f>
        <v>Clean</v>
      </c>
      <c r="AD899">
        <f>IF(P899="",0,P899)</f>
        <v>0.05</v>
      </c>
      <c r="AE899">
        <f>N899*O899*(1-AD899)</f>
        <v>6789.27</v>
      </c>
      <c r="AF899">
        <f>AE899-R899</f>
        <v>1162.8400000000001</v>
      </c>
      <c r="AG899" s="3">
        <f t="shared" ref="AG899:AG913" si="144">IF(AE899=0,0,AF899/AE899)</f>
        <v>0.17127614603631908</v>
      </c>
      <c r="AH899" t="str">
        <f>TEXT(B899,"mmmm")</f>
        <v>April</v>
      </c>
      <c r="AI899">
        <f>YEAR(B899)</f>
        <v>2025</v>
      </c>
    </row>
    <row r="900" spans="1:35">
      <c r="A900" t="s">
        <v>2770</v>
      </c>
      <c r="B900" s="2">
        <v>45445</v>
      </c>
      <c r="C900" s="2">
        <v>45451</v>
      </c>
      <c r="D900" t="s">
        <v>2771</v>
      </c>
      <c r="E900" t="s">
        <v>85</v>
      </c>
      <c r="F900" t="s">
        <v>38</v>
      </c>
      <c r="G900" t="s">
        <v>39</v>
      </c>
      <c r="H900" t="s">
        <v>365</v>
      </c>
      <c r="I900" t="s">
        <v>366</v>
      </c>
      <c r="J900" t="s">
        <v>55</v>
      </c>
      <c r="K900" t="s">
        <v>56</v>
      </c>
      <c r="L900" t="s">
        <v>2772</v>
      </c>
      <c r="M900" t="s">
        <v>64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46</v>
      </c>
      <c r="U900" t="s">
        <v>47</v>
      </c>
      <c r="V900" t="str">
        <f t="shared" si="139"/>
        <v>Valid</v>
      </c>
      <c r="W900">
        <f t="shared" si="140"/>
        <v>6</v>
      </c>
      <c r="Y900" t="str">
        <f t="shared" si="141"/>
        <v>OK</v>
      </c>
      <c r="Z900" t="str">
        <f t="shared" si="142"/>
        <v>OK</v>
      </c>
      <c r="AA900" t="str">
        <f>IF(P900="","Missing Discount","OK")</f>
        <v>OK</v>
      </c>
      <c r="AB900" t="str">
        <f t="shared" si="143"/>
        <v>Valid</v>
      </c>
      <c r="AC900" t="str">
        <f>IF(OR(AB900="Invalid Discount",V900="Invalid Shipping"),
"Invalid",
IF(OR(Y900="Missing Region",
Z900="Missing Ship Mode",
AA900="Missing Discount",
X900="Flagged for Review"),
"Warning",
"Clean"))</f>
        <v>Clean</v>
      </c>
      <c r="AD900">
        <f>IF(P900="",0,P900)</f>
        <v>0.2</v>
      </c>
      <c r="AE900">
        <f>N900*O900*(1-AD900)</f>
        <v>4917.4400000000005</v>
      </c>
      <c r="AF900">
        <f>AE900-R900</f>
        <v>1070.6700000000005</v>
      </c>
      <c r="AG900" s="3">
        <f t="shared" si="144"/>
        <v>0.21772914361944434</v>
      </c>
      <c r="AH900" t="str">
        <f>TEXT(B900,"mmmm")</f>
        <v>June</v>
      </c>
      <c r="AI900">
        <f>YEAR(B900)</f>
        <v>2024</v>
      </c>
    </row>
    <row r="901" spans="1:35">
      <c r="A901" t="s">
        <v>2773</v>
      </c>
      <c r="B901" s="2">
        <v>45804</v>
      </c>
      <c r="C901" s="2">
        <v>45811</v>
      </c>
      <c r="D901" t="s">
        <v>2774</v>
      </c>
      <c r="E901" t="s">
        <v>37</v>
      </c>
      <c r="F901" t="s">
        <v>38</v>
      </c>
      <c r="G901" t="s">
        <v>39</v>
      </c>
      <c r="H901" t="s">
        <v>136</v>
      </c>
      <c r="I901" t="s">
        <v>137</v>
      </c>
      <c r="J901" t="s">
        <v>55</v>
      </c>
      <c r="K901" t="s">
        <v>80</v>
      </c>
      <c r="L901" t="s">
        <v>2775</v>
      </c>
      <c r="M901" t="s">
        <v>64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169</v>
      </c>
      <c r="U901" t="s">
        <v>82</v>
      </c>
      <c r="V901" t="str">
        <f t="shared" si="139"/>
        <v>Valid</v>
      </c>
      <c r="W901">
        <f t="shared" si="140"/>
        <v>7</v>
      </c>
      <c r="Y901" t="str">
        <f t="shared" si="141"/>
        <v>OK</v>
      </c>
      <c r="Z901" t="str">
        <f t="shared" si="142"/>
        <v>OK</v>
      </c>
      <c r="AA901" t="str">
        <f>IF(P901="","Missing Discount","OK")</f>
        <v>OK</v>
      </c>
      <c r="AB901" t="str">
        <f t="shared" si="143"/>
        <v>Valid</v>
      </c>
      <c r="AC901" t="str">
        <f>IF(OR(AB901="Invalid Discount",V901="Invalid Shipping"),
"Invalid",
IF(OR(Y901="Missing Region",
Z901="Missing Ship Mode",
AA901="Missing Discount",
X901="Flagged for Review"),
"Warning",
"Clean"))</f>
        <v>Clean</v>
      </c>
      <c r="AD901">
        <f>IF(P901="",0,P901)</f>
        <v>0.25</v>
      </c>
      <c r="AE901">
        <f>N901*O901*(1-AD901)</f>
        <v>3304.05</v>
      </c>
      <c r="AF901">
        <f>AE901-R901</f>
        <v>1024.6400000000003</v>
      </c>
      <c r="AG901" s="3">
        <f t="shared" si="144"/>
        <v>0.31011637233092726</v>
      </c>
      <c r="AH901" t="str">
        <f>TEXT(B901,"mmmm")</f>
        <v>May</v>
      </c>
      <c r="AI901">
        <f>YEAR(B901)</f>
        <v>2025</v>
      </c>
    </row>
    <row r="902" spans="1:35">
      <c r="A902" t="s">
        <v>1112</v>
      </c>
      <c r="B902" s="2">
        <v>45630</v>
      </c>
      <c r="C902" s="2">
        <v>45632</v>
      </c>
      <c r="D902" t="s">
        <v>1113</v>
      </c>
      <c r="E902" t="s">
        <v>146</v>
      </c>
      <c r="F902" t="s">
        <v>109</v>
      </c>
      <c r="G902" t="s">
        <v>52</v>
      </c>
      <c r="H902" t="s">
        <v>53</v>
      </c>
      <c r="I902" t="s">
        <v>54</v>
      </c>
      <c r="J902" t="s">
        <v>42</v>
      </c>
      <c r="K902" t="s">
        <v>167</v>
      </c>
      <c r="L902" t="s">
        <v>1114</v>
      </c>
      <c r="M902" t="s">
        <v>45</v>
      </c>
      <c r="N902">
        <v>4</v>
      </c>
      <c r="O902">
        <v>2685.66</v>
      </c>
      <c r="P902">
        <v>0.1</v>
      </c>
      <c r="Q902">
        <v>10989.89</v>
      </c>
      <c r="R902">
        <v>6477.37</v>
      </c>
      <c r="S902">
        <v>4265.2700000000004</v>
      </c>
      <c r="T902" t="s">
        <v>46</v>
      </c>
      <c r="U902" t="s">
        <v>47</v>
      </c>
      <c r="V902" t="str">
        <f t="shared" si="139"/>
        <v>Valid</v>
      </c>
      <c r="W902">
        <f t="shared" si="140"/>
        <v>2</v>
      </c>
      <c r="X902" t="s">
        <v>398</v>
      </c>
      <c r="Y902" t="str">
        <f t="shared" si="141"/>
        <v>OK</v>
      </c>
      <c r="Z902" t="str">
        <f t="shared" si="142"/>
        <v>OK</v>
      </c>
      <c r="AA902" t="str">
        <f>IF(P902="","Missing Discount","OK")</f>
        <v>OK</v>
      </c>
      <c r="AB902" t="str">
        <f t="shared" si="143"/>
        <v>Valid</v>
      </c>
      <c r="AC902" t="str">
        <f>IF(OR(AB902="Invalid Discount",V902="Invalid Shipping"),
"Invalid",
IF(OR(Y902="Missing Region",
Z902="Missing Ship Mode",
AA902="Missing Discount",
X902="Flagged for Review"),
"Warning",
"Clean"))</f>
        <v>Warning</v>
      </c>
      <c r="AD902">
        <f>IF(P902="",0,P902)</f>
        <v>0.1</v>
      </c>
      <c r="AE902">
        <f>N902*O902*(1-AD902)</f>
        <v>9668.3760000000002</v>
      </c>
      <c r="AF902">
        <f>AE902-R902</f>
        <v>3191.0060000000003</v>
      </c>
      <c r="AG902" s="3">
        <f t="shared" si="144"/>
        <v>0.33004570777967263</v>
      </c>
      <c r="AH902" t="str">
        <f>TEXT(B902,"mmmm")</f>
        <v>December</v>
      </c>
      <c r="AI902">
        <f>YEAR(B902)</f>
        <v>2024</v>
      </c>
    </row>
    <row r="903" spans="1:35">
      <c r="A903" t="s">
        <v>395</v>
      </c>
      <c r="B903" s="2">
        <v>45893</v>
      </c>
      <c r="C903" s="2">
        <v>45898</v>
      </c>
      <c r="D903" t="s">
        <v>396</v>
      </c>
      <c r="E903" t="s">
        <v>142</v>
      </c>
      <c r="F903" t="s">
        <v>51</v>
      </c>
      <c r="G903" t="s">
        <v>52</v>
      </c>
      <c r="H903" t="s">
        <v>159</v>
      </c>
      <c r="I903" t="s">
        <v>160</v>
      </c>
      <c r="J903" t="s">
        <v>88</v>
      </c>
      <c r="K903" t="s">
        <v>94</v>
      </c>
      <c r="L903" t="s">
        <v>397</v>
      </c>
      <c r="M903" t="s">
        <v>64</v>
      </c>
      <c r="N903">
        <v>3</v>
      </c>
      <c r="O903">
        <v>3703.96</v>
      </c>
      <c r="P903">
        <v>0.25</v>
      </c>
      <c r="Q903">
        <v>9549.44</v>
      </c>
      <c r="R903">
        <v>5586.28</v>
      </c>
      <c r="S903">
        <v>3858.82</v>
      </c>
      <c r="T903" t="s">
        <v>46</v>
      </c>
      <c r="U903" t="s">
        <v>117</v>
      </c>
      <c r="V903" t="str">
        <f t="shared" si="139"/>
        <v>Valid</v>
      </c>
      <c r="W903">
        <f t="shared" si="140"/>
        <v>5</v>
      </c>
      <c r="X903" t="s">
        <v>398</v>
      </c>
      <c r="Y903" t="str">
        <f t="shared" si="141"/>
        <v>OK</v>
      </c>
      <c r="Z903" t="str">
        <f t="shared" si="142"/>
        <v>OK</v>
      </c>
      <c r="AA903" t="str">
        <f>IF(P903="","Missing Discount","OK")</f>
        <v>OK</v>
      </c>
      <c r="AB903" t="str">
        <f t="shared" si="143"/>
        <v>Valid</v>
      </c>
      <c r="AC903" t="str">
        <f>IF(OR(AB903="Invalid Discount",V903="Invalid Shipping"),
"Invalid",
IF(OR(Y903="Missing Region",
Z903="Missing Ship Mode",
AA903="Missing Discount",
X903="Flagged for Review"),
"Warning",
"Clean"))</f>
        <v>Warning</v>
      </c>
      <c r="AD903">
        <f>IF(P903="",0,P903)</f>
        <v>0.25</v>
      </c>
      <c r="AE903">
        <f>N903*O903*(1-AD903)</f>
        <v>8333.91</v>
      </c>
      <c r="AF903">
        <f>AE903-R903</f>
        <v>2747.63</v>
      </c>
      <c r="AG903" s="3">
        <f t="shared" si="144"/>
        <v>0.3296927852592601</v>
      </c>
      <c r="AH903" t="str">
        <f>TEXT(B903,"mmmm")</f>
        <v>August</v>
      </c>
      <c r="AI903">
        <f>YEAR(B903)</f>
        <v>2025</v>
      </c>
    </row>
    <row r="904" spans="1:35">
      <c r="A904" t="s">
        <v>1236</v>
      </c>
      <c r="B904" s="2">
        <v>45760</v>
      </c>
      <c r="C904" s="2">
        <v>45760</v>
      </c>
      <c r="D904" t="s">
        <v>1237</v>
      </c>
      <c r="E904" t="s">
        <v>146</v>
      </c>
      <c r="F904" t="s">
        <v>51</v>
      </c>
      <c r="G904" t="s">
        <v>39</v>
      </c>
      <c r="H904" t="s">
        <v>150</v>
      </c>
      <c r="I904" t="s">
        <v>151</v>
      </c>
      <c r="J904" t="s">
        <v>42</v>
      </c>
      <c r="K904" t="s">
        <v>138</v>
      </c>
      <c r="L904" t="s">
        <v>1238</v>
      </c>
      <c r="M904" t="s">
        <v>45</v>
      </c>
      <c r="N904">
        <v>9</v>
      </c>
      <c r="O904">
        <v>1118.68</v>
      </c>
      <c r="P904">
        <v>0.15</v>
      </c>
      <c r="Q904">
        <v>10348.43</v>
      </c>
      <c r="R904">
        <v>8595.3700000000008</v>
      </c>
      <c r="S904">
        <v>1472.75</v>
      </c>
      <c r="T904" t="s">
        <v>46</v>
      </c>
      <c r="U904" t="s">
        <v>117</v>
      </c>
      <c r="V904" t="str">
        <f t="shared" si="139"/>
        <v>Valid</v>
      </c>
      <c r="W904">
        <f t="shared" si="140"/>
        <v>0</v>
      </c>
      <c r="X904" t="s">
        <v>398</v>
      </c>
      <c r="Y904" t="str">
        <f t="shared" si="141"/>
        <v>OK</v>
      </c>
      <c r="Z904" t="str">
        <f t="shared" si="142"/>
        <v>OK</v>
      </c>
      <c r="AA904" t="str">
        <f>IF(P904="","Missing Discount","OK")</f>
        <v>OK</v>
      </c>
      <c r="AB904" t="str">
        <f t="shared" si="143"/>
        <v>Valid</v>
      </c>
      <c r="AC904" t="str">
        <f>IF(OR(AB904="Invalid Discount",V904="Invalid Shipping"),
"Invalid",
IF(OR(Y904="Missing Region",
Z904="Missing Ship Mode",
AA904="Missing Discount",
X904="Flagged for Review"),
"Warning",
"Clean"))</f>
        <v>Warning</v>
      </c>
      <c r="AD904">
        <f>IF(P904="",0,P904)</f>
        <v>0.15</v>
      </c>
      <c r="AE904">
        <f>N904*O904*(1-AD904)</f>
        <v>8557.902</v>
      </c>
      <c r="AF904">
        <f>AE904-R904</f>
        <v>-37.468000000000757</v>
      </c>
      <c r="AG904" s="3">
        <f t="shared" si="144"/>
        <v>-4.3781758660008906E-3</v>
      </c>
      <c r="AH904" t="str">
        <f>TEXT(B904,"mmmm")</f>
        <v>April</v>
      </c>
      <c r="AI904">
        <f>YEAR(B904)</f>
        <v>2025</v>
      </c>
    </row>
    <row r="905" spans="1:35">
      <c r="A905" t="s">
        <v>794</v>
      </c>
      <c r="B905" s="2">
        <v>45932</v>
      </c>
      <c r="C905" s="2">
        <v>45938</v>
      </c>
      <c r="D905" t="s">
        <v>795</v>
      </c>
      <c r="E905" t="s">
        <v>61</v>
      </c>
      <c r="F905" t="s">
        <v>51</v>
      </c>
      <c r="G905" t="s">
        <v>39</v>
      </c>
      <c r="H905" t="s">
        <v>136</v>
      </c>
      <c r="I905" t="s">
        <v>137</v>
      </c>
      <c r="J905" t="s">
        <v>55</v>
      </c>
      <c r="K905" t="s">
        <v>71</v>
      </c>
      <c r="L905" t="s">
        <v>796</v>
      </c>
      <c r="M905" t="s">
        <v>73</v>
      </c>
      <c r="N905">
        <v>4</v>
      </c>
      <c r="O905">
        <v>3944.64</v>
      </c>
      <c r="P905">
        <v>0.15</v>
      </c>
      <c r="Q905">
        <v>12116.89</v>
      </c>
      <c r="R905">
        <v>6682.92</v>
      </c>
      <c r="S905">
        <v>5151</v>
      </c>
      <c r="T905" t="s">
        <v>46</v>
      </c>
      <c r="U905" t="s">
        <v>117</v>
      </c>
      <c r="V905" t="str">
        <f t="shared" si="139"/>
        <v>Valid</v>
      </c>
      <c r="W905">
        <f t="shared" si="140"/>
        <v>6</v>
      </c>
      <c r="X905" t="s">
        <v>398</v>
      </c>
      <c r="Y905" t="str">
        <f t="shared" si="141"/>
        <v>OK</v>
      </c>
      <c r="Z905" t="str">
        <f t="shared" si="142"/>
        <v>OK</v>
      </c>
      <c r="AA905" t="str">
        <f>IF(P905="","Missing Discount","OK")</f>
        <v>OK</v>
      </c>
      <c r="AB905" t="str">
        <f t="shared" si="143"/>
        <v>Valid</v>
      </c>
      <c r="AC905" t="str">
        <f>IF(OR(AB905="Invalid Discount",V905="Invalid Shipping"),
"Invalid",
IF(OR(Y905="Missing Region",
Z905="Missing Ship Mode",
AA905="Missing Discount",
X905="Flagged for Review"),
"Warning",
"Clean"))</f>
        <v>Warning</v>
      </c>
      <c r="AD905">
        <f>IF(P905="",0,P905)</f>
        <v>0.15</v>
      </c>
      <c r="AE905">
        <f>N905*O905*(1-AD905)</f>
        <v>13411.776</v>
      </c>
      <c r="AF905">
        <f>AE905-R905</f>
        <v>6728.8559999999998</v>
      </c>
      <c r="AG905" s="3">
        <f t="shared" si="144"/>
        <v>0.50171252487366325</v>
      </c>
      <c r="AH905" t="str">
        <f>TEXT(B905,"mmmm")</f>
        <v>October</v>
      </c>
      <c r="AI905">
        <f>YEAR(B905)</f>
        <v>2025</v>
      </c>
    </row>
    <row r="906" spans="1:35">
      <c r="A906" t="s">
        <v>1062</v>
      </c>
      <c r="B906" s="2">
        <v>45795</v>
      </c>
      <c r="C906" s="2">
        <v>45797</v>
      </c>
      <c r="D906" t="s">
        <v>1063</v>
      </c>
      <c r="E906" t="s">
        <v>61</v>
      </c>
      <c r="F906" t="s">
        <v>104</v>
      </c>
      <c r="G906" t="s">
        <v>77</v>
      </c>
      <c r="H906" t="s">
        <v>86</v>
      </c>
      <c r="I906" t="s">
        <v>87</v>
      </c>
      <c r="J906" t="s">
        <v>42</v>
      </c>
      <c r="K906" t="s">
        <v>105</v>
      </c>
      <c r="L906" t="s">
        <v>1064</v>
      </c>
      <c r="M906" t="s">
        <v>73</v>
      </c>
      <c r="N906">
        <v>9</v>
      </c>
      <c r="O906">
        <v>847.76</v>
      </c>
      <c r="P906">
        <v>-0.14000000000000001</v>
      </c>
      <c r="Q906">
        <v>6589.37</v>
      </c>
      <c r="R906">
        <v>5376.17</v>
      </c>
      <c r="S906">
        <v>1109.19</v>
      </c>
      <c r="T906" t="s">
        <v>169</v>
      </c>
      <c r="U906" t="s">
        <v>47</v>
      </c>
      <c r="V906" t="str">
        <f t="shared" si="139"/>
        <v>Valid</v>
      </c>
      <c r="W906">
        <f t="shared" si="140"/>
        <v>2</v>
      </c>
      <c r="X906" t="s">
        <v>398</v>
      </c>
      <c r="Y906" t="str">
        <f t="shared" si="141"/>
        <v>OK</v>
      </c>
      <c r="Z906" t="str">
        <f t="shared" si="142"/>
        <v>OK</v>
      </c>
      <c r="AA906" t="str">
        <f>IF(P906="","Missing Discount","OK")</f>
        <v>OK</v>
      </c>
      <c r="AB906" t="str">
        <f t="shared" si="143"/>
        <v>Invalid Discount</v>
      </c>
      <c r="AC906" t="str">
        <f>IF(OR(AB906="Invalid Discount",V906="Invalid Shipping"),
"Invalid",
IF(OR(Y906="Missing Region",
Z906="Missing Ship Mode",
AA906="Missing Discount",
X906="Flagged for Review"),
"Warning",
"Clean"))</f>
        <v>Invalid</v>
      </c>
      <c r="AD906">
        <f>IF(P906="",0,P906)</f>
        <v>-0.14000000000000001</v>
      </c>
      <c r="AE906">
        <f>N906*O906*(1-AD906)</f>
        <v>8698.017600000001</v>
      </c>
      <c r="AF906">
        <f>AE906-R906</f>
        <v>3321.847600000001</v>
      </c>
      <c r="AG906" s="3">
        <f t="shared" si="144"/>
        <v>0.38190858569888392</v>
      </c>
      <c r="AH906" t="str">
        <f>TEXT(B906,"mmmm")</f>
        <v>May</v>
      </c>
      <c r="AI906">
        <f>YEAR(B906)</f>
        <v>2025</v>
      </c>
    </row>
    <row r="907" spans="1:35">
      <c r="A907" t="s">
        <v>634</v>
      </c>
      <c r="B907" s="2">
        <v>45907</v>
      </c>
      <c r="C907" s="2">
        <v>45915</v>
      </c>
      <c r="D907" t="s">
        <v>635</v>
      </c>
      <c r="E907" t="s">
        <v>155</v>
      </c>
      <c r="F907" t="s">
        <v>104</v>
      </c>
      <c r="G907" t="s">
        <v>52</v>
      </c>
      <c r="H907" t="s">
        <v>159</v>
      </c>
      <c r="I907" t="s">
        <v>160</v>
      </c>
      <c r="J907" t="s">
        <v>88</v>
      </c>
      <c r="K907" t="s">
        <v>94</v>
      </c>
      <c r="L907" t="s">
        <v>636</v>
      </c>
      <c r="M907" t="s">
        <v>73</v>
      </c>
      <c r="N907">
        <v>3</v>
      </c>
      <c r="O907">
        <v>1711.32</v>
      </c>
      <c r="P907">
        <v>0</v>
      </c>
      <c r="Q907">
        <v>5206.53</v>
      </c>
      <c r="R907">
        <v>3930</v>
      </c>
      <c r="S907">
        <v>1203.96</v>
      </c>
      <c r="T907" t="s">
        <v>46</v>
      </c>
      <c r="U907" t="s">
        <v>117</v>
      </c>
      <c r="V907" t="str">
        <f t="shared" si="139"/>
        <v>Valid</v>
      </c>
      <c r="W907">
        <f t="shared" si="140"/>
        <v>8</v>
      </c>
      <c r="X907" t="s">
        <v>398</v>
      </c>
      <c r="Y907" t="str">
        <f t="shared" si="141"/>
        <v>OK</v>
      </c>
      <c r="Z907" t="str">
        <f t="shared" si="142"/>
        <v>OK</v>
      </c>
      <c r="AA907" t="str">
        <f>IF(P907="","Missing Discount","OK")</f>
        <v>OK</v>
      </c>
      <c r="AB907" t="str">
        <f t="shared" si="143"/>
        <v>Valid</v>
      </c>
      <c r="AC907" t="str">
        <f>IF(OR(AB907="Invalid Discount",V907="Invalid Shipping"),
"Invalid",
IF(OR(Y907="Missing Region",
Z907="Missing Ship Mode",
AA907="Missing Discount",
X907="Flagged for Review"),
"Warning",
"Clean"))</f>
        <v>Warning</v>
      </c>
      <c r="AD907">
        <f>IF(P907="",0,P907)</f>
        <v>0</v>
      </c>
      <c r="AE907">
        <f>N907*O907*(1-AD907)</f>
        <v>5133.96</v>
      </c>
      <c r="AF907">
        <f>AE907-R907</f>
        <v>1203.96</v>
      </c>
      <c r="AG907" s="3">
        <f t="shared" si="144"/>
        <v>0.23450903396208775</v>
      </c>
      <c r="AH907" t="str">
        <f>TEXT(B907,"mmmm")</f>
        <v>September</v>
      </c>
      <c r="AI907">
        <f>YEAR(B907)</f>
        <v>2025</v>
      </c>
    </row>
    <row r="908" spans="1:35">
      <c r="A908" t="s">
        <v>1385</v>
      </c>
      <c r="B908" s="2">
        <v>45342</v>
      </c>
      <c r="C908" s="2">
        <v>45349</v>
      </c>
      <c r="D908" t="s">
        <v>1386</v>
      </c>
      <c r="E908" t="s">
        <v>176</v>
      </c>
      <c r="F908" t="s">
        <v>38</v>
      </c>
      <c r="G908" t="s">
        <v>68</v>
      </c>
      <c r="H908" t="s">
        <v>199</v>
      </c>
      <c r="I908" t="s">
        <v>200</v>
      </c>
      <c r="J908" t="s">
        <v>88</v>
      </c>
      <c r="K908" t="s">
        <v>89</v>
      </c>
      <c r="L908" t="s">
        <v>1387</v>
      </c>
      <c r="M908" t="s">
        <v>64</v>
      </c>
      <c r="N908">
        <v>9</v>
      </c>
      <c r="O908">
        <v>3779.31</v>
      </c>
      <c r="P908">
        <v>0.15</v>
      </c>
      <c r="Q908">
        <v>27322.9</v>
      </c>
      <c r="R908">
        <v>17940.43</v>
      </c>
      <c r="S908">
        <v>9270.6</v>
      </c>
      <c r="T908" t="s">
        <v>46</v>
      </c>
      <c r="U908" t="s">
        <v>117</v>
      </c>
      <c r="V908" t="str">
        <f t="shared" si="139"/>
        <v>Valid</v>
      </c>
      <c r="W908">
        <f t="shared" si="140"/>
        <v>7</v>
      </c>
      <c r="X908" t="s">
        <v>398</v>
      </c>
      <c r="Y908" t="str">
        <f t="shared" si="141"/>
        <v>OK</v>
      </c>
      <c r="Z908" t="str">
        <f t="shared" si="142"/>
        <v>OK</v>
      </c>
      <c r="AA908" t="str">
        <f>IF(P908="","Missing Discount","OK")</f>
        <v>OK</v>
      </c>
      <c r="AB908" t="str">
        <f t="shared" si="143"/>
        <v>Valid</v>
      </c>
      <c r="AC908" t="str">
        <f>IF(OR(AB908="Invalid Discount",V908="Invalid Shipping"),
"Invalid",
IF(OR(Y908="Missing Region",
Z908="Missing Ship Mode",
AA908="Missing Discount",
X908="Flagged for Review"),
"Warning",
"Clean"))</f>
        <v>Warning</v>
      </c>
      <c r="AD908">
        <f>IF(P908="",0,P908)</f>
        <v>0.15</v>
      </c>
      <c r="AE908">
        <f>N908*O908*(1-AD908)</f>
        <v>28911.7215</v>
      </c>
      <c r="AF908">
        <f>AE908-R908</f>
        <v>10971.291499999999</v>
      </c>
      <c r="AG908" s="3">
        <f t="shared" si="144"/>
        <v>0.37947555284800316</v>
      </c>
      <c r="AH908" t="str">
        <f>TEXT(B908,"mmmm")</f>
        <v>February</v>
      </c>
      <c r="AI908">
        <f>YEAR(B908)</f>
        <v>2024</v>
      </c>
    </row>
    <row r="909" spans="1:35">
      <c r="A909" t="s">
        <v>1823</v>
      </c>
      <c r="B909" s="2">
        <v>45698</v>
      </c>
      <c r="C909" s="2">
        <v>45702</v>
      </c>
      <c r="D909" t="s">
        <v>1824</v>
      </c>
      <c r="E909" t="s">
        <v>128</v>
      </c>
      <c r="F909" t="s">
        <v>51</v>
      </c>
      <c r="G909" t="s">
        <v>39</v>
      </c>
      <c r="H909" t="s">
        <v>150</v>
      </c>
      <c r="I909" t="s">
        <v>151</v>
      </c>
      <c r="J909" t="s">
        <v>88</v>
      </c>
      <c r="K909" t="s">
        <v>185</v>
      </c>
      <c r="L909" t="s">
        <v>1825</v>
      </c>
      <c r="M909" t="s">
        <v>219</v>
      </c>
      <c r="N909">
        <v>5</v>
      </c>
      <c r="O909">
        <v>4276.29</v>
      </c>
      <c r="P909">
        <v>0.15</v>
      </c>
      <c r="Q909">
        <v>21443.63</v>
      </c>
      <c r="R909">
        <v>13240.21</v>
      </c>
      <c r="S909">
        <v>8141.24</v>
      </c>
      <c r="T909" t="s">
        <v>169</v>
      </c>
      <c r="U909" t="s">
        <v>47</v>
      </c>
      <c r="V909" t="str">
        <f t="shared" si="139"/>
        <v>Valid</v>
      </c>
      <c r="W909">
        <f t="shared" si="140"/>
        <v>4</v>
      </c>
      <c r="X909" t="s">
        <v>398</v>
      </c>
      <c r="Y909" t="str">
        <f t="shared" si="141"/>
        <v>OK</v>
      </c>
      <c r="Z909" t="str">
        <f t="shared" si="142"/>
        <v>Missing Ship Mode</v>
      </c>
      <c r="AA909" t="str">
        <f>IF(P909="","Missing Discount","OK")</f>
        <v>OK</v>
      </c>
      <c r="AB909" t="str">
        <f t="shared" si="143"/>
        <v>Valid</v>
      </c>
      <c r="AC909" t="str">
        <f>IF(OR(AB909="Invalid Discount",V909="Invalid Shipping"),
"Invalid",
IF(OR(Y909="Missing Region",
Z909="Missing Ship Mode",
AA909="Missing Discount",
X909="Flagged for Review"),
"Warning",
"Clean"))</f>
        <v>Warning</v>
      </c>
      <c r="AD909">
        <f>IF(P909="",0,P909)</f>
        <v>0.15</v>
      </c>
      <c r="AE909">
        <f>N909*O909*(1-AD909)</f>
        <v>18174.232500000002</v>
      </c>
      <c r="AF909">
        <f>AE909-R909</f>
        <v>4934.0225000000028</v>
      </c>
      <c r="AG909" s="3">
        <f t="shared" si="144"/>
        <v>0.27148450422872067</v>
      </c>
      <c r="AH909" t="str">
        <f>TEXT(B909,"mmmm")</f>
        <v>February</v>
      </c>
      <c r="AI909">
        <f>YEAR(B909)</f>
        <v>2025</v>
      </c>
    </row>
    <row r="910" spans="1:35">
      <c r="A910" t="s">
        <v>551</v>
      </c>
      <c r="B910" s="2">
        <v>45381</v>
      </c>
      <c r="C910" s="2">
        <v>45377</v>
      </c>
      <c r="D910" t="s">
        <v>552</v>
      </c>
      <c r="E910" t="s">
        <v>103</v>
      </c>
      <c r="F910" t="s">
        <v>109</v>
      </c>
      <c r="G910" t="s">
        <v>39</v>
      </c>
      <c r="H910" t="s">
        <v>40</v>
      </c>
      <c r="I910" t="s">
        <v>41</v>
      </c>
      <c r="J910" t="s">
        <v>88</v>
      </c>
      <c r="K910" t="s">
        <v>185</v>
      </c>
      <c r="L910" t="s">
        <v>553</v>
      </c>
      <c r="M910" t="s">
        <v>45</v>
      </c>
      <c r="N910">
        <v>5</v>
      </c>
      <c r="O910">
        <v>907.54</v>
      </c>
      <c r="P910">
        <v>0.2</v>
      </c>
      <c r="Q910">
        <v>4099.6899999999996</v>
      </c>
      <c r="R910">
        <v>2769.26</v>
      </c>
      <c r="S910">
        <v>1087.78</v>
      </c>
      <c r="T910" t="s">
        <v>46</v>
      </c>
      <c r="U910" t="s">
        <v>117</v>
      </c>
      <c r="V910" t="str">
        <f t="shared" si="139"/>
        <v>Invalid Shipping</v>
      </c>
      <c r="W910">
        <f t="shared" si="140"/>
        <v>-4</v>
      </c>
      <c r="X910" t="s">
        <v>398</v>
      </c>
      <c r="Y910" t="str">
        <f t="shared" si="141"/>
        <v>OK</v>
      </c>
      <c r="Z910" t="str">
        <f t="shared" si="142"/>
        <v>OK</v>
      </c>
      <c r="AA910" t="str">
        <f>IF(P910="","Missing Discount","OK")</f>
        <v>OK</v>
      </c>
      <c r="AB910" t="str">
        <f t="shared" si="143"/>
        <v>Valid</v>
      </c>
      <c r="AC910" t="str">
        <f>IF(OR(AB910="Invalid Discount",V910="Invalid Shipping"),
"Invalid",
IF(OR(Y910="Missing Region",
Z910="Missing Ship Mode",
AA910="Missing Discount",
X910="Flagged for Review"),
"Warning",
"Clean"))</f>
        <v>Invalid</v>
      </c>
      <c r="AD910">
        <f>IF(P910="",0,P910)</f>
        <v>0.2</v>
      </c>
      <c r="AE910">
        <f>N910*O910*(1-AD910)</f>
        <v>3630.16</v>
      </c>
      <c r="AF910">
        <f>AE910-R910</f>
        <v>860.89999999999964</v>
      </c>
      <c r="AG910" s="3">
        <f t="shared" si="144"/>
        <v>0.23715208145095523</v>
      </c>
      <c r="AH910" t="str">
        <f>TEXT(B910,"mmmm")</f>
        <v>March</v>
      </c>
      <c r="AI910">
        <f>YEAR(B910)</f>
        <v>2024</v>
      </c>
    </row>
    <row r="911" spans="1:35">
      <c r="A911" t="s">
        <v>937</v>
      </c>
      <c r="B911" s="2">
        <v>45522</v>
      </c>
      <c r="C911" s="2">
        <v>45528</v>
      </c>
      <c r="D911" t="s">
        <v>938</v>
      </c>
      <c r="E911" t="s">
        <v>67</v>
      </c>
      <c r="F911" t="s">
        <v>38</v>
      </c>
      <c r="G911" t="s">
        <v>68</v>
      </c>
      <c r="H911" t="s">
        <v>98</v>
      </c>
      <c r="I911" t="s">
        <v>99</v>
      </c>
      <c r="J911" t="s">
        <v>55</v>
      </c>
      <c r="K911" t="s">
        <v>80</v>
      </c>
      <c r="L911" t="s">
        <v>939</v>
      </c>
      <c r="M911" t="s">
        <v>64</v>
      </c>
      <c r="N911">
        <v>7</v>
      </c>
      <c r="O911">
        <v>557.21</v>
      </c>
      <c r="P911">
        <v>0.25</v>
      </c>
      <c r="Q911">
        <v>3797.79</v>
      </c>
      <c r="R911">
        <v>2191.5</v>
      </c>
      <c r="S911">
        <v>1213.48</v>
      </c>
      <c r="T911" t="s">
        <v>46</v>
      </c>
      <c r="U911" t="s">
        <v>117</v>
      </c>
      <c r="V911" t="str">
        <f t="shared" si="139"/>
        <v>Valid</v>
      </c>
      <c r="W911">
        <f t="shared" si="140"/>
        <v>6</v>
      </c>
      <c r="X911" t="s">
        <v>398</v>
      </c>
      <c r="Y911" t="str">
        <f t="shared" si="141"/>
        <v>OK</v>
      </c>
      <c r="Z911" t="str">
        <f t="shared" si="142"/>
        <v>OK</v>
      </c>
      <c r="AA911" t="str">
        <f>IF(P911="","Missing Discount","OK")</f>
        <v>OK</v>
      </c>
      <c r="AB911" t="str">
        <f t="shared" si="143"/>
        <v>Valid</v>
      </c>
      <c r="AC911" t="str">
        <f>IF(OR(AB911="Invalid Discount",V911="Invalid Shipping"),
"Invalid",
IF(OR(Y911="Missing Region",
Z911="Missing Ship Mode",
AA911="Missing Discount",
X911="Flagged for Review"),
"Warning",
"Clean"))</f>
        <v>Warning</v>
      </c>
      <c r="AD911">
        <f>IF(P911="",0,P911)</f>
        <v>0.25</v>
      </c>
      <c r="AE911">
        <f>N911*O911*(1-AD911)</f>
        <v>2925.3525</v>
      </c>
      <c r="AF911">
        <f>AE911-R911</f>
        <v>733.85249999999996</v>
      </c>
      <c r="AG911" s="3">
        <f t="shared" si="144"/>
        <v>0.25085951180242377</v>
      </c>
      <c r="AH911" t="str">
        <f>TEXT(B911,"mmmm")</f>
        <v>August</v>
      </c>
      <c r="AI911">
        <f>YEAR(B911)</f>
        <v>2024</v>
      </c>
    </row>
    <row r="912" spans="1:35">
      <c r="A912" t="s">
        <v>494</v>
      </c>
      <c r="B912" s="2">
        <v>45436</v>
      </c>
      <c r="C912" s="2">
        <v>45437</v>
      </c>
      <c r="D912" t="s">
        <v>495</v>
      </c>
      <c r="E912" t="s">
        <v>146</v>
      </c>
      <c r="F912" t="s">
        <v>51</v>
      </c>
      <c r="G912" t="s">
        <v>39</v>
      </c>
      <c r="H912" t="s">
        <v>136</v>
      </c>
      <c r="I912" t="s">
        <v>137</v>
      </c>
      <c r="J912" t="s">
        <v>88</v>
      </c>
      <c r="K912" t="s">
        <v>94</v>
      </c>
      <c r="L912" t="s">
        <v>496</v>
      </c>
      <c r="M912" t="s">
        <v>58</v>
      </c>
      <c r="N912">
        <v>1</v>
      </c>
      <c r="O912">
        <v>634.13</v>
      </c>
      <c r="P912">
        <v>0</v>
      </c>
      <c r="Q912">
        <v>808.67</v>
      </c>
      <c r="R912">
        <v>453.35</v>
      </c>
      <c r="S912">
        <v>180.78</v>
      </c>
      <c r="T912" t="s">
        <v>116</v>
      </c>
      <c r="U912" t="s">
        <v>117</v>
      </c>
      <c r="V912" t="str">
        <f t="shared" si="139"/>
        <v>Valid</v>
      </c>
      <c r="W912">
        <f t="shared" si="140"/>
        <v>1</v>
      </c>
      <c r="X912" t="s">
        <v>398</v>
      </c>
      <c r="Y912" t="str">
        <f t="shared" si="141"/>
        <v>OK</v>
      </c>
      <c r="Z912" t="str">
        <f t="shared" si="142"/>
        <v>OK</v>
      </c>
      <c r="AA912" t="str">
        <f>IF(P912="","Missing Discount","OK")</f>
        <v>OK</v>
      </c>
      <c r="AB912" t="str">
        <f t="shared" si="143"/>
        <v>Valid</v>
      </c>
      <c r="AC912" t="str">
        <f>IF(OR(AB912="Invalid Discount",V912="Invalid Shipping"),
"Invalid",
IF(OR(Y912="Missing Region",
Z912="Missing Ship Mode",
AA912="Missing Discount",
X912="Flagged for Review"),
"Warning",
"Clean"))</f>
        <v>Warning</v>
      </c>
      <c r="AD912">
        <f>IF(P912="",0,P912)</f>
        <v>0</v>
      </c>
      <c r="AE912">
        <f>N912*O912*(1-AD912)</f>
        <v>634.13</v>
      </c>
      <c r="AF912">
        <f>AE912-R912</f>
        <v>180.77999999999997</v>
      </c>
      <c r="AG912" s="3">
        <f t="shared" si="144"/>
        <v>0.28508350022865969</v>
      </c>
      <c r="AH912" t="str">
        <f>TEXT(B912,"mmmm")</f>
        <v>May</v>
      </c>
      <c r="AI912">
        <f>YEAR(B912)</f>
        <v>2024</v>
      </c>
    </row>
    <row r="913" spans="1:35">
      <c r="A913" t="s">
        <v>1124</v>
      </c>
      <c r="B913" s="2">
        <v>45824</v>
      </c>
      <c r="C913" s="2">
        <v>45826</v>
      </c>
      <c r="D913" t="s">
        <v>1125</v>
      </c>
      <c r="E913" t="s">
        <v>132</v>
      </c>
      <c r="F913" t="s">
        <v>109</v>
      </c>
      <c r="G913" t="s">
        <v>77</v>
      </c>
      <c r="H913" t="s">
        <v>86</v>
      </c>
      <c r="I913" t="s">
        <v>87</v>
      </c>
      <c r="J913" t="s">
        <v>42</v>
      </c>
      <c r="K913" t="s">
        <v>43</v>
      </c>
      <c r="L913" t="s">
        <v>1126</v>
      </c>
      <c r="M913" t="s">
        <v>64</v>
      </c>
      <c r="N913">
        <v>3</v>
      </c>
      <c r="O913">
        <v>4289.37</v>
      </c>
      <c r="P913">
        <v>0.15</v>
      </c>
      <c r="Q913">
        <v>11778.71</v>
      </c>
      <c r="R913">
        <v>6829.43</v>
      </c>
      <c r="S913">
        <v>4751.87</v>
      </c>
      <c r="T913" t="s">
        <v>46</v>
      </c>
      <c r="U913" t="s">
        <v>117</v>
      </c>
      <c r="V913" t="str">
        <f t="shared" si="139"/>
        <v>Valid</v>
      </c>
      <c r="W913">
        <f t="shared" si="140"/>
        <v>2</v>
      </c>
      <c r="X913" t="s">
        <v>398</v>
      </c>
      <c r="Y913" t="str">
        <f t="shared" si="141"/>
        <v>OK</v>
      </c>
      <c r="Z913" t="str">
        <f t="shared" si="142"/>
        <v>OK</v>
      </c>
      <c r="AA913" t="str">
        <f>IF(P913="","Missing Discount","OK")</f>
        <v>OK</v>
      </c>
      <c r="AB913" t="str">
        <f t="shared" si="143"/>
        <v>Valid</v>
      </c>
      <c r="AC913" t="str">
        <f>IF(OR(AB913="Invalid Discount",V913="Invalid Shipping"),
"Invalid",
IF(OR(Y913="Missing Region",
Z913="Missing Ship Mode",
AA913="Missing Discount",
X913="Flagged for Review"),
"Warning",
"Clean"))</f>
        <v>Warning</v>
      </c>
      <c r="AD913">
        <f>IF(P913="",0,P913)</f>
        <v>0.15</v>
      </c>
      <c r="AE913">
        <f>N913*O913*(1-AD913)</f>
        <v>10937.8935</v>
      </c>
      <c r="AF913">
        <f>AE913-R913</f>
        <v>4108.4634999999998</v>
      </c>
      <c r="AG913" s="3">
        <f t="shared" si="144"/>
        <v>0.37561743492931249</v>
      </c>
      <c r="AH913" t="str">
        <f>TEXT(B913,"mmmm")</f>
        <v>June</v>
      </c>
      <c r="AI913">
        <f>YEAR(B913)</f>
        <v>2025</v>
      </c>
    </row>
  </sheetData>
  <conditionalFormatting sqref="A2:A913">
    <cfRule type="duplicateValues" dxfId="0" priority="6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2026-06-28T06:15:15Z</dcterms:created>
  <dcterms:modified xsi:type="dcterms:W3CDTF">2026-06-28T13:42:56Z</dcterms:modified>
  <cp:category/>
  <cp:contentStatus/>
</cp:coreProperties>
</file>